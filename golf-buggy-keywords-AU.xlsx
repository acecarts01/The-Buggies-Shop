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4 Picks" sheetId="1" state="visible" r:id="rId3"/>
    <sheet name="City Pages" sheetId="2" state="visible" r:id="rId4"/>
    <sheet name="Assumptions" sheetId="3" state="visible" r:id="rId5"/>
    <sheet name="Top 200 Scored" sheetId="4" state="visible" r:id="rId6"/>
    <sheet name="City Keywords" sheetId="5" state="visible" r:id="rId7"/>
  </sheets>
  <definedNames>
    <definedName function="false" hidden="true" localSheetId="4" name="_xlnm._FilterDatabase" vbProcedure="false">'City Keywords'!$A$1:$G$189</definedName>
    <definedName function="false" hidden="true" localSheetId="3" name="_xlnm._FilterDatabase" vbProcedure="false">'Top 200 Scored'!$A$1:$J$201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<sst xmlns="http://schemas.openxmlformats.org/spreadsheetml/2006/main" count="1331" uniqueCount="447">
  <si>
    <t xml:space="preserve">#</t>
  </si>
  <si>
    <t xml:space="preserve">Keyword</t>
  </si>
  <si>
    <t xml:space="preserve">Vol/mo</t>
  </si>
  <si>
    <t xml:space="preserve">KD</t>
  </si>
  <si>
    <t xml:space="preserve">CPC (USD)</t>
  </si>
  <si>
    <t xml:space="preserve">Intent</t>
  </si>
  <si>
    <t xml:space="preserve">Score</t>
  </si>
  <si>
    <t xml:space="preserve">Role</t>
  </si>
  <si>
    <t xml:space="preserve">Use it for</t>
  </si>
  <si>
    <t xml:space="preserve">golf buggy</t>
  </si>
  <si>
    <t xml:space="preserve">Head term</t>
  </si>
  <si>
    <t xml:space="preserve">Homepage title tag and H1</t>
  </si>
  <si>
    <t xml:space="preserve">golf buggy for sale</t>
  </si>
  <si>
    <t xml:space="preserve">Money keyword</t>
  </si>
  <si>
    <t xml:space="preserve">Main "Shop all golf buggies" page</t>
  </si>
  <si>
    <t xml:space="preserve">buggies golf</t>
  </si>
  <si>
    <t xml:space="preserve">Variant</t>
  </si>
  <si>
    <t xml:space="preserve">Same page as #1: H2 and meta description (word-order variant)</t>
  </si>
  <si>
    <t xml:space="preserve">golf buggies</t>
  </si>
  <si>
    <t xml:space="preserve">Same page as #1: plural in body copy and internal anchors</t>
  </si>
  <si>
    <t xml:space="preserve">electric golf buggy</t>
  </si>
  <si>
    <t xml:space="preserve">Category</t>
  </si>
  <si>
    <t xml:space="preserve">Own category page: highest volume in the niche, hardest (KD 36)</t>
  </si>
  <si>
    <t xml:space="preserve">electric golf buggy for sale</t>
  </si>
  <si>
    <t xml:space="preserve">Same electric category page: buyer-intent H2</t>
  </si>
  <si>
    <t xml:space="preserve">golf push buggy</t>
  </si>
  <si>
    <t xml:space="preserve">Push buggy category (also "push golf buggy", "golf buggy push")</t>
  </si>
  <si>
    <t xml:space="preserve">golf trolley</t>
  </si>
  <si>
    <t xml:space="preserve">Same push/electric copy: the term many Aussies use</t>
  </si>
  <si>
    <t xml:space="preserve">remote control golf buggy</t>
  </si>
  <si>
    <t xml:space="preserve">Remote buggy category (also "electric golf buggy with remote")</t>
  </si>
  <si>
    <t xml:space="preserve">golf buggy sales</t>
  </si>
  <si>
    <t xml:space="preserve">Quick win</t>
  </si>
  <si>
    <t xml:space="preserve">Very low KD, buyer intent: use in shop page copy and meta</t>
  </si>
  <si>
    <t xml:space="preserve">golf buggy accessories</t>
  </si>
  <si>
    <t xml:space="preserve">Accessories category: KD 4, upsell revenue</t>
  </si>
  <si>
    <t xml:space="preserve">golf buggy for sale brisbane</t>
  </si>
  <si>
    <t xml:space="preserve">Local</t>
  </si>
  <si>
    <t xml:space="preserve">Brisbane/QLD city page (see City Pages sheet)</t>
  </si>
  <si>
    <t xml:space="preserve">golf carts for sale</t>
  </si>
  <si>
    <t xml:space="preserve">Riding carts only</t>
  </si>
  <si>
    <t xml:space="preserve">Only if you sell riding golf carts</t>
  </si>
  <si>
    <t xml:space="preserve">electric golf cart</t>
  </si>
  <si>
    <t xml:space="preserve">Yellow rows apply only if you sell riding golf carts. Values pull live from the Top 200 Scored sheet.</t>
  </si>
  <si>
    <t xml:space="preserve">City page</t>
  </si>
  <si>
    <t xml:space="preserve">Suggested URL</t>
  </si>
  <si>
    <t xml:space="preserve">Buggy volume (all variants)</t>
  </si>
  <si>
    <t xml:space="preserve">Buggy keywords</t>
  </si>
  <si>
    <t xml:space="preserve">Cart volume (all variants)</t>
  </si>
  <si>
    <t xml:space="preserve">Best buggy keyword (H1)</t>
  </si>
  <si>
    <t xml:space="preserve">Its vol/mo</t>
  </si>
  <si>
    <t xml:space="preserve">Its KD</t>
  </si>
  <si>
    <t xml:space="preserve">Priority</t>
  </si>
  <si>
    <t xml:space="preserve">Brisbane / QLD</t>
  </si>
  <si>
    <t xml:space="preserve">/golf-buggies-for-sale/brisbane/</t>
  </si>
  <si>
    <t xml:space="preserve">Sydney / NSW</t>
  </si>
  <si>
    <t xml:space="preserve">/golf-buggies-for-sale/sydney/</t>
  </si>
  <si>
    <t xml:space="preserve">golf buggies for sale nsw</t>
  </si>
  <si>
    <t xml:space="preserve">Perth / WA</t>
  </si>
  <si>
    <t xml:space="preserve">/golf-buggies-for-sale/perth/</t>
  </si>
  <si>
    <t xml:space="preserve">golf buggy for sale perth</t>
  </si>
  <si>
    <t xml:space="preserve">Melbourne / VIC</t>
  </si>
  <si>
    <t xml:space="preserve">/golf-buggies-for-sale/melbourne/</t>
  </si>
  <si>
    <t xml:space="preserve">golf buggies for sale victoria</t>
  </si>
  <si>
    <t xml:space="preserve">Gold Coast</t>
  </si>
  <si>
    <t xml:space="preserve">/golf-buggies-for-sale/gold-coast/</t>
  </si>
  <si>
    <t xml:space="preserve">golf buggies gold coast</t>
  </si>
  <si>
    <t xml:space="preserve">Adelaide / SA</t>
  </si>
  <si>
    <t xml:space="preserve">/golf-buggies-for-sale/adelaide/</t>
  </si>
  <si>
    <t xml:space="preserve">golf buggy for sale adelaide</t>
  </si>
  <si>
    <t xml:space="preserve">Canberra / ACT</t>
  </si>
  <si>
    <t xml:space="preserve">/golf-buggies-for-sale/canberra/</t>
  </si>
  <si>
    <t xml:space="preserve">golf buggy canberra</t>
  </si>
  <si>
    <t xml:space="preserve">Tasmania</t>
  </si>
  <si>
    <t xml:space="preserve">/golf-buggies-for-sale/tasmania/</t>
  </si>
  <si>
    <t xml:space="preserve">golf buggy for sale tasmania</t>
  </si>
  <si>
    <t xml:space="preserve">Darwin / NT</t>
  </si>
  <si>
    <t xml:space="preserve">/golf-buggies-for-sale/darwin/</t>
  </si>
  <si>
    <t xml:space="preserve">golf buggy for sale darwin</t>
  </si>
  <si>
    <t xml:space="preserve">Total</t>
  </si>
  <si>
    <t xml:space="preserve">Build a city page only where you deliver or have a presence. Page tiers: 500+ buggy searches = build first, 200+ = build next. Details in the City Keywords sheet (filter by city page).</t>
  </si>
  <si>
    <t xml:space="preserve">Golf buggy keyword shortlist - AU (Semrush export 2026-09-10)</t>
  </si>
  <si>
    <t xml:space="preserve">Score = Volume x (1 - KD/100) x Intent weight x Relevance/100. Edit the blue weights below and every score and ranking input recalculates.</t>
  </si>
  <si>
    <t xml:space="preserve">Weight</t>
  </si>
  <si>
    <t xml:space="preserve">Transactional</t>
  </si>
  <si>
    <t xml:space="preserve">Commercial</t>
  </si>
  <si>
    <t xml:space="preserve">Informational, Transactional</t>
  </si>
  <si>
    <t xml:space="preserve">Informational, Commercial</t>
  </si>
  <si>
    <t xml:space="preserve">Informational</t>
  </si>
  <si>
    <t xml:space="preserve">Navigational</t>
  </si>
  <si>
    <t xml:space="preserve">Default (blank intent)</t>
  </si>
  <si>
    <t xml:space="preserve">Notes and assumptions</t>
  </si>
  <si>
    <t xml:space="preserve">1. Assumes the shop sells golf buggies (push and electric trolleys). In Australia "golf buggy" = push/electric trolley; "golf cart" = riding vehicle. Rows tagged Track = Cart apply only if you also stock riding carts.</t>
  </si>
  <si>
    <t xml:space="preserve">2. Source: your six Semrush AU exports (golf cart/buggy/push buggy seeds), merged and de-duplicated (69,464 unique keywords). For duplicates the highest volume was kept.</t>
  </si>
  <si>
    <t xml:space="preserve">3. Semrush supplies Keyword Difficulty for only ~1,000 of the 69k keywords, so only keywords with a KD value are scored. Volumes are monthly AU searches.</t>
  </si>
  <si>
    <t xml:space="preserve">4. Excluded: competitor/brand terms (MGI, Stinger, Yamaha, EZGO, Clicgear etc.), used/second-hand, parts, auctions, off-topic ("gold buggy", "golf car"), and anything under 50 searches/month.</t>
  </si>
  <si>
    <t xml:space="preserve">5. Intent weights are a judgement call (buyer intent weighted highest); change them above to test other priorities.</t>
  </si>
  <si>
    <t xml:space="preserve">6. City sheets list city-modified buggy/cart keywords with 20+ searches/month. City volumes are small; build a city page only where you deliver or have a presence.</t>
  </si>
  <si>
    <t xml:space="preserve">Rank</t>
  </si>
  <si>
    <t xml:space="preserve">Track</t>
  </si>
  <si>
    <t xml:space="preserve">Volume/mo</t>
  </si>
  <si>
    <t xml:space="preserve">Relevance</t>
  </si>
  <si>
    <t xml:space="preserve">Intent weight</t>
  </si>
  <si>
    <t xml:space="preserve">Buggy</t>
  </si>
  <si>
    <t xml:space="preserve">golf cart</t>
  </si>
  <si>
    <t xml:space="preserve">Cart</t>
  </si>
  <si>
    <t xml:space="preserve">golf cart for sale</t>
  </si>
  <si>
    <t xml:space="preserve">golf carts</t>
  </si>
  <si>
    <t xml:space="preserve">golf push cart</t>
  </si>
  <si>
    <t xml:space="preserve">golf buggy push</t>
  </si>
  <si>
    <t xml:space="preserve">buggy for golf</t>
  </si>
  <si>
    <t xml:space="preserve">golf buggie</t>
  </si>
  <si>
    <t xml:space="preserve">push golf buggy</t>
  </si>
  <si>
    <t xml:space="preserve">petrol golf carts for sale</t>
  </si>
  <si>
    <t xml:space="preserve">golf buggy sale</t>
  </si>
  <si>
    <t xml:space="preserve">golf carts australia</t>
  </si>
  <si>
    <t xml:space="preserve">remote golf buggy</t>
  </si>
  <si>
    <t xml:space="preserve">golf buggy electric</t>
  </si>
  <si>
    <t xml:space="preserve">golf cart accessories</t>
  </si>
  <si>
    <t xml:space="preserve">electric golf carts for sale</t>
  </si>
  <si>
    <t xml:space="preserve">golf push buggies</t>
  </si>
  <si>
    <t xml:space="preserve">for sale golf buggy</t>
  </si>
  <si>
    <t xml:space="preserve">golf buggy remote</t>
  </si>
  <si>
    <t xml:space="preserve">golf buggy with seat</t>
  </si>
  <si>
    <t xml:space="preserve">buy golf cart</t>
  </si>
  <si>
    <t xml:space="preserve">electric golf buggy with remote</t>
  </si>
  <si>
    <t xml:space="preserve">buggies for golf</t>
  </si>
  <si>
    <t xml:space="preserve">electric golf cart for sale</t>
  </si>
  <si>
    <t xml:space="preserve">motorised golf buggy</t>
  </si>
  <si>
    <t xml:space="preserve">buggy golf</t>
  </si>
  <si>
    <t xml:space="preserve">remote control electric golf buggy</t>
  </si>
  <si>
    <t xml:space="preserve">motorised golf buggies</t>
  </si>
  <si>
    <t xml:space="preserve">petrol golf cart for sale</t>
  </si>
  <si>
    <t xml:space="preserve">electric golf buggies</t>
  </si>
  <si>
    <t xml:space="preserve">electric golf carts</t>
  </si>
  <si>
    <t xml:space="preserve">golf carts for sale qld</t>
  </si>
  <si>
    <t xml:space="preserve">golf cars</t>
  </si>
  <si>
    <t xml:space="preserve">golf carts for sale melbourne</t>
  </si>
  <si>
    <t xml:space="preserve">golf carts for sale brisbane</t>
  </si>
  <si>
    <t xml:space="preserve">motorized golf buggy</t>
  </si>
  <si>
    <t xml:space="preserve">golf cart price</t>
  </si>
  <si>
    <t xml:space="preserve">golf carts for sale near me</t>
  </si>
  <si>
    <t xml:space="preserve">golf cart near me for sale</t>
  </si>
  <si>
    <t xml:space="preserve">three wheel golf buggy</t>
  </si>
  <si>
    <t xml:space="preserve">golf carts for sale perth</t>
  </si>
  <si>
    <t xml:space="preserve">golf carts gold coast</t>
  </si>
  <si>
    <t xml:space="preserve">golf carts for sale nsw</t>
  </si>
  <si>
    <t xml:space="preserve">petrol golf cart</t>
  </si>
  <si>
    <t xml:space="preserve">3 wheel golf buggy</t>
  </si>
  <si>
    <t xml:space="preserve">electric golf trolley</t>
  </si>
  <si>
    <t xml:space="preserve">golf electric buggy</t>
  </si>
  <si>
    <t xml:space="preserve">push cart</t>
  </si>
  <si>
    <t xml:space="preserve">push buggy golf</t>
  </si>
  <si>
    <t xml:space="preserve">golfbuggy</t>
  </si>
  <si>
    <t xml:space="preserve">golf pull buggy</t>
  </si>
  <si>
    <t xml:space="preserve">electric golf caddy</t>
  </si>
  <si>
    <t xml:space="preserve">three wheel golf cart</t>
  </si>
  <si>
    <t xml:space="preserve">4 seater golf cart</t>
  </si>
  <si>
    <t xml:space="preserve">motorised golf buggy for sale</t>
  </si>
  <si>
    <t xml:space="preserve">golf carts for sale sydney</t>
  </si>
  <si>
    <t xml:space="preserve">sales golf carts</t>
  </si>
  <si>
    <t xml:space="preserve">inexpensive golf carts</t>
  </si>
  <si>
    <t xml:space="preserve">electric buggy golf</t>
  </si>
  <si>
    <t xml:space="preserve">golf carts for sale adelaide</t>
  </si>
  <si>
    <t xml:space="preserve">push golf buggy for sale</t>
  </si>
  <si>
    <t xml:space="preserve">motorised golf caddy</t>
  </si>
  <si>
    <t xml:space="preserve">golf cart sales</t>
  </si>
  <si>
    <t xml:space="preserve">golf carts for sale gold coast</t>
  </si>
  <si>
    <t xml:space="preserve">petrol golf carts</t>
  </si>
  <si>
    <t xml:space="preserve">golf trolleys</t>
  </si>
  <si>
    <t xml:space="preserve">low price golf carts</t>
  </si>
  <si>
    <t xml:space="preserve">golf carts for sale australia</t>
  </si>
  <si>
    <t xml:space="preserve">golf carts for sale victoria</t>
  </si>
  <si>
    <t xml:space="preserve">foldable golf buggy</t>
  </si>
  <si>
    <t xml:space="preserve">cheap golf carts</t>
  </si>
  <si>
    <t xml:space="preserve">golf cart for sale near me</t>
  </si>
  <si>
    <t xml:space="preserve">ride on golf buggy</t>
  </si>
  <si>
    <t xml:space="preserve">golf buggys</t>
  </si>
  <si>
    <t xml:space="preserve">new golf carts for sale</t>
  </si>
  <si>
    <t xml:space="preserve">golf cart purchase</t>
  </si>
  <si>
    <t xml:space="preserve">golf buggy for sale qld</t>
  </si>
  <si>
    <t xml:space="preserve">golf cart and trailer for sale</t>
  </si>
  <si>
    <t xml:space="preserve">golf buggy remote control</t>
  </si>
  <si>
    <t xml:space="preserve">3 wheel golf cart</t>
  </si>
  <si>
    <t xml:space="preserve">kids golf buggy</t>
  </si>
  <si>
    <t xml:space="preserve">battery golf buggy</t>
  </si>
  <si>
    <t xml:space="preserve">electric golf buggies australia</t>
  </si>
  <si>
    <t xml:space="preserve">golf buggy cart</t>
  </si>
  <si>
    <t xml:space="preserve">junior golf buggy</t>
  </si>
  <si>
    <t xml:space="preserve">what is the best electric golf buggy australia</t>
  </si>
  <si>
    <t xml:space="preserve">custom golf carts</t>
  </si>
  <si>
    <t xml:space="preserve">golf buggy australia</t>
  </si>
  <si>
    <t xml:space="preserve">buy golf buggy</t>
  </si>
  <si>
    <t xml:space="preserve">golf buggies australia</t>
  </si>
  <si>
    <t xml:space="preserve">best electric golf buggy australia</t>
  </si>
  <si>
    <t xml:space="preserve">golf buggy for sale sydney</t>
  </si>
  <si>
    <t xml:space="preserve">best golf buggy</t>
  </si>
  <si>
    <t xml:space="preserve">folding golf buggy</t>
  </si>
  <si>
    <t xml:space="preserve">golf buggy accessories australia</t>
  </si>
  <si>
    <t xml:space="preserve">best golf buggy australia</t>
  </si>
  <si>
    <t xml:space="preserve">push buggy</t>
  </si>
  <si>
    <t xml:space="preserve">collapsible golf buggy</t>
  </si>
  <si>
    <t xml:space="preserve">golf buggy for sale gold coast</t>
  </si>
  <si>
    <t xml:space="preserve">golf carts push</t>
  </si>
  <si>
    <t xml:space="preserve">golf cart sale</t>
  </si>
  <si>
    <t xml:space="preserve">pull buggy golf</t>
  </si>
  <si>
    <t xml:space="preserve">battery golf buggies</t>
  </si>
  <si>
    <t xml:space="preserve">Navigational, Transactional</t>
  </si>
  <si>
    <t xml:space="preserve">golf caddy cart</t>
  </si>
  <si>
    <t xml:space="preserve">golf buggy gold coast</t>
  </si>
  <si>
    <t xml:space="preserve">cheap golf buggy</t>
  </si>
  <si>
    <t xml:space="preserve">golf cart repairs near me</t>
  </si>
  <si>
    <t xml:space="preserve">electric remote control golf carts</t>
  </si>
  <si>
    <t xml:space="preserve">golf cart repair near me</t>
  </si>
  <si>
    <t xml:space="preserve">golf cart accessories australia</t>
  </si>
  <si>
    <t xml:space="preserve">golf trolley for sale</t>
  </si>
  <si>
    <t xml:space="preserve">golf push carts</t>
  </si>
  <si>
    <t xml:space="preserve">motorised golf carts</t>
  </si>
  <si>
    <t xml:space="preserve">golf.buggy</t>
  </si>
  <si>
    <t xml:space="preserve">inexpensive golf carts for sale</t>
  </si>
  <si>
    <t xml:space="preserve">axglo golf buggy</t>
  </si>
  <si>
    <t xml:space="preserve">best electric golf buggy</t>
  </si>
  <si>
    <t xml:space="preserve">walkinshaw golf buggy</t>
  </si>
  <si>
    <t xml:space="preserve">remote control golf buggies</t>
  </si>
  <si>
    <t xml:space="preserve">golf buggy for sale nsw</t>
  </si>
  <si>
    <t xml:space="preserve">eletric buggy</t>
  </si>
  <si>
    <t xml:space="preserve">golf cart buggy</t>
  </si>
  <si>
    <t xml:space="preserve">australian golf carts</t>
  </si>
  <si>
    <t xml:space="preserve">golf cart sales near me</t>
  </si>
  <si>
    <t xml:space="preserve">motorised golf cart</t>
  </si>
  <si>
    <t xml:space="preserve">golf carts victoria</t>
  </si>
  <si>
    <t xml:space="preserve">new golf carts</t>
  </si>
  <si>
    <t xml:space="preserve">push golf cart</t>
  </si>
  <si>
    <t xml:space="preserve">thomson electric golf buggy</t>
  </si>
  <si>
    <t xml:space="preserve">golf carts perth</t>
  </si>
  <si>
    <t xml:space="preserve">trident golf buggy</t>
  </si>
  <si>
    <t xml:space="preserve">buggy push</t>
  </si>
  <si>
    <t xml:space="preserve">golf pull cart</t>
  </si>
  <si>
    <t xml:space="preserve">motorized golf cart</t>
  </si>
  <si>
    <t xml:space="preserve">stonehaven glide golf buggy</t>
  </si>
  <si>
    <t xml:space="preserve">remote control golf cart</t>
  </si>
  <si>
    <t xml:space="preserve">golf trolley sale</t>
  </si>
  <si>
    <t xml:space="preserve">remote controlled golf buggy</t>
  </si>
  <si>
    <t xml:space="preserve">compact golf buggy</t>
  </si>
  <si>
    <t xml:space="preserve">electric golf buggy sale</t>
  </si>
  <si>
    <t xml:space="preserve">golf cart repairs</t>
  </si>
  <si>
    <t xml:space="preserve">electric golf cart with remote</t>
  </si>
  <si>
    <t xml:space="preserve">golf carts near me</t>
  </si>
  <si>
    <t xml:space="preserve">golf pull carts</t>
  </si>
  <si>
    <t xml:space="preserve">electric motorized golf cart</t>
  </si>
  <si>
    <t xml:space="preserve">electric farm buggy for sale australia</t>
  </si>
  <si>
    <t xml:space="preserve">golf cart australia</t>
  </si>
  <si>
    <t xml:space="preserve">new golf buggies</t>
  </si>
  <si>
    <t xml:space="preserve">golf cart buying</t>
  </si>
  <si>
    <t xml:space="preserve">golf carts remote control</t>
  </si>
  <si>
    <t xml:space="preserve">golf cart for sale qld</t>
  </si>
  <si>
    <t xml:space="preserve">electric golf buggy australia</t>
  </si>
  <si>
    <t xml:space="preserve">golf carts buggy</t>
  </si>
  <si>
    <t xml:space="preserve">golf cart electric</t>
  </si>
  <si>
    <t xml:space="preserve">cheap golf carts for sale</t>
  </si>
  <si>
    <t xml:space="preserve">golf carts for sale wa</t>
  </si>
  <si>
    <t xml:space="preserve">golf motorised buggy</t>
  </si>
  <si>
    <t xml:space="preserve">golf carts melbourne australia</t>
  </si>
  <si>
    <t xml:space="preserve">golf carts on sale</t>
  </si>
  <si>
    <t xml:space="preserve">ride on golf buggies</t>
  </si>
  <si>
    <t xml:space="preserve">single rider golf cart sale australia</t>
  </si>
  <si>
    <t xml:space="preserve">push pull golf buggy</t>
  </si>
  <si>
    <t xml:space="preserve">electric golf push cart</t>
  </si>
  <si>
    <t xml:space="preserve">cheap golf buggy for sale</t>
  </si>
  <si>
    <t xml:space="preserve">petrol golf buggy</t>
  </si>
  <si>
    <t xml:space="preserve">remote control golf buggy for sale</t>
  </si>
  <si>
    <t xml:space="preserve">golf buggy drink holder</t>
  </si>
  <si>
    <t xml:space="preserve">electric golf cars</t>
  </si>
  <si>
    <t xml:space="preserve">golf buggy service</t>
  </si>
  <si>
    <t xml:space="preserve">battery trolley</t>
  </si>
  <si>
    <t xml:space="preserve">new golf cart</t>
  </si>
  <si>
    <t xml:space="preserve">golf buggy electric for sale</t>
  </si>
  <si>
    <t xml:space="preserve">buggy golf cart</t>
  </si>
  <si>
    <t xml:space="preserve">best golf push buggy australia</t>
  </si>
  <si>
    <t xml:space="preserve">golf buggy clearance</t>
  </si>
  <si>
    <t xml:space="preserve">golf cart cheap</t>
  </si>
  <si>
    <t xml:space="preserve">golf trolley electric</t>
  </si>
  <si>
    <t xml:space="preserve">g wagon golf cart</t>
  </si>
  <si>
    <t xml:space="preserve">best push golf buggy australia</t>
  </si>
  <si>
    <t xml:space="preserve">golf carts melbourne</t>
  </si>
  <si>
    <t xml:space="preserve">electric remote golf buggy</t>
  </si>
  <si>
    <t xml:space="preserve">good golf cart</t>
  </si>
  <si>
    <t xml:space="preserve">eagles &amp; birdies classic premium golf buggy</t>
  </si>
  <si>
    <t xml:space="preserve">remote control golf caddy</t>
  </si>
  <si>
    <t xml:space="preserve">golf buggies perth</t>
  </si>
  <si>
    <t xml:space="preserve">electric golf buggies adelaide</t>
  </si>
  <si>
    <t xml:space="preserve">electric golf buggy for sale adelaide</t>
  </si>
  <si>
    <t xml:space="preserve">electric golf buggy adelaide</t>
  </si>
  <si>
    <t xml:space="preserve">golf buggies for sale adelaide</t>
  </si>
  <si>
    <t xml:space="preserve">golf buggy adelaide</t>
  </si>
  <si>
    <t xml:space="preserve">golf buggy repairs adelaide</t>
  </si>
  <si>
    <t xml:space="preserve">motorised golf buggies adelaide</t>
  </si>
  <si>
    <t xml:space="preserve">golf carts adelaide</t>
  </si>
  <si>
    <t xml:space="preserve">golf cart for sale adelaide</t>
  </si>
  <si>
    <t xml:space="preserve">golf carts for sale south australia</t>
  </si>
  <si>
    <t xml:space="preserve">electric golf carts adelaide</t>
  </si>
  <si>
    <t xml:space="preserve">fairway golf carts adelaide</t>
  </si>
  <si>
    <t xml:space="preserve">golf cart hire adelaide</t>
  </si>
  <si>
    <t xml:space="preserve">golf cart sa</t>
  </si>
  <si>
    <t xml:space="preserve">golf cart solutions adelaide</t>
  </si>
  <si>
    <t xml:space="preserve">golf carts for sale sa</t>
  </si>
  <si>
    <t xml:space="preserve">golf carts south australia</t>
  </si>
  <si>
    <t xml:space="preserve">petrol golf cart for sale south australia</t>
  </si>
  <si>
    <t xml:space="preserve">sa golf carts</t>
  </si>
  <si>
    <t xml:space="preserve">golf buggies for sale qld</t>
  </si>
  <si>
    <t xml:space="preserve">golf buggies for sale brisbane</t>
  </si>
  <si>
    <t xml:space="preserve">electric golf buggies brisbane</t>
  </si>
  <si>
    <t xml:space="preserve">golf buggies brisbane</t>
  </si>
  <si>
    <t xml:space="preserve">electric golf buggies for sale brisbane</t>
  </si>
  <si>
    <t xml:space="preserve">electric golf buggy brisbane</t>
  </si>
  <si>
    <t xml:space="preserve">electric golf buggy for sale qld</t>
  </si>
  <si>
    <t xml:space="preserve">golf buggy batteries brisbane</t>
  </si>
  <si>
    <t xml:space="preserve">golf buggy brisbane</t>
  </si>
  <si>
    <t xml:space="preserve">golf buggy for sale sunshine coast</t>
  </si>
  <si>
    <t xml:space="preserve">golf buggy for sale toowoomba</t>
  </si>
  <si>
    <t xml:space="preserve">golf buggy hire brisbane</t>
  </si>
  <si>
    <t xml:space="preserve">golf buggy parts brisbane</t>
  </si>
  <si>
    <t xml:space="preserve">golf buggy registration qld</t>
  </si>
  <si>
    <t xml:space="preserve">golf buggy repairs brisbane</t>
  </si>
  <si>
    <t xml:space="preserve">motorised golf buggies brisbane</t>
  </si>
  <si>
    <t xml:space="preserve">petrol golf buggy for sale queensland</t>
  </si>
  <si>
    <t xml:space="preserve">qld golf carts</t>
  </si>
  <si>
    <t xml:space="preserve">golf carts brisbane</t>
  </si>
  <si>
    <t xml:space="preserve">golf cart for sale brisbane</t>
  </si>
  <si>
    <t xml:space="preserve">golf carts for sale toowoomba</t>
  </si>
  <si>
    <t xml:space="preserve">golf carts qld</t>
  </si>
  <si>
    <t xml:space="preserve">augusta golf carts brisbane</t>
  </si>
  <si>
    <t xml:space="preserve">augusta golf carts qld</t>
  </si>
  <si>
    <t xml:space="preserve">brisbane golf carts</t>
  </si>
  <si>
    <t xml:space="preserve">electric golf carts brisbane</t>
  </si>
  <si>
    <t xml:space="preserve">electric golf carts for sale brisbane</t>
  </si>
  <si>
    <t xml:space="preserve">golf cart accessories brisbane</t>
  </si>
  <si>
    <t xml:space="preserve">golf cart hire brisbane</t>
  </si>
  <si>
    <t xml:space="preserve">golf cart insurance qld</t>
  </si>
  <si>
    <t xml:space="preserve">golf cart parts brisbane</t>
  </si>
  <si>
    <t xml:space="preserve">golf cart repairs brisbane</t>
  </si>
  <si>
    <t xml:space="preserve">golf cart sales brisbane</t>
  </si>
  <si>
    <t xml:space="preserve">golf carts for sale in brisbane</t>
  </si>
  <si>
    <t xml:space="preserve">golf carts for sale queensland</t>
  </si>
  <si>
    <t xml:space="preserve">golf carts for sale sunshine coast</t>
  </si>
  <si>
    <t xml:space="preserve">golf carts for sale townsville</t>
  </si>
  <si>
    <t xml:space="preserve">golf carts sunshine coast</t>
  </si>
  <si>
    <t xml:space="preserve">petrol golf cart for sale qld</t>
  </si>
  <si>
    <t xml:space="preserve">petrol golf carts for sale brisbane</t>
  </si>
  <si>
    <t xml:space="preserve">petrol golf carts for sale qld</t>
  </si>
  <si>
    <t xml:space="preserve">petrol golf carts for sale queensland</t>
  </si>
  <si>
    <t xml:space="preserve">queensland golf carts</t>
  </si>
  <si>
    <t xml:space="preserve">golf buggy for sale canberra</t>
  </si>
  <si>
    <t xml:space="preserve">golf carts canberra</t>
  </si>
  <si>
    <t xml:space="preserve">golf carts for sale canberra</t>
  </si>
  <si>
    <t xml:space="preserve">golf cart for sale darwin</t>
  </si>
  <si>
    <t xml:space="preserve">golf carts for sale darwin</t>
  </si>
  <si>
    <t xml:space="preserve">electric golf buggy for sale gold coast</t>
  </si>
  <si>
    <t xml:space="preserve">golf buggies for sale gold coast</t>
  </si>
  <si>
    <t xml:space="preserve">golf buggy hire gold coast</t>
  </si>
  <si>
    <t xml:space="preserve">gold coast golf carts</t>
  </si>
  <si>
    <t xml:space="preserve">e car golf carts gold coast</t>
  </si>
  <si>
    <t xml:space="preserve">golf cart for sale gold coast</t>
  </si>
  <si>
    <t xml:space="preserve">golf cart parts gold coast</t>
  </si>
  <si>
    <t xml:space="preserve">golf buggies for sale melbourne</t>
  </si>
  <si>
    <t xml:space="preserve">golf buggy batteries melbourne</t>
  </si>
  <si>
    <t xml:space="preserve">golf buggy for sale melbourne</t>
  </si>
  <si>
    <t xml:space="preserve">electric golf buggies melbourne</t>
  </si>
  <si>
    <t xml:space="preserve">golf buggies melbourne</t>
  </si>
  <si>
    <t xml:space="preserve">electric golf buggies for sale melbourne</t>
  </si>
  <si>
    <t xml:space="preserve">electric golf buggy for sale melbourne</t>
  </si>
  <si>
    <t xml:space="preserve">electric golf buggy melbourne</t>
  </si>
  <si>
    <t xml:space="preserve">golf buggy for sale geelong</t>
  </si>
  <si>
    <t xml:space="preserve">golf buggy geelong</t>
  </si>
  <si>
    <t xml:space="preserve">golf buggy hire melbourne</t>
  </si>
  <si>
    <t xml:space="preserve">golf buggy repairs melbourne</t>
  </si>
  <si>
    <t xml:space="preserve">augusta golf carts melbourne</t>
  </si>
  <si>
    <t xml:space="preserve">electric golf carts melbourne</t>
  </si>
  <si>
    <t xml:space="preserve">golf carts for sale geelong</t>
  </si>
  <si>
    <t xml:space="preserve">petrol golf carts for sale victoria</t>
  </si>
  <si>
    <t xml:space="preserve">boston golf carts geelong</t>
  </si>
  <si>
    <t xml:space="preserve">electric golf carts for sale melbourne</t>
  </si>
  <si>
    <t xml:space="preserve">electric golf carts for sale victoria</t>
  </si>
  <si>
    <t xml:space="preserve">golf cart accessories melbourne</t>
  </si>
  <si>
    <t xml:space="preserve">golf cart for sale victoria</t>
  </si>
  <si>
    <t xml:space="preserve">golf cart insurance victoria</t>
  </si>
  <si>
    <t xml:space="preserve">golf cart melbourne</t>
  </si>
  <si>
    <t xml:space="preserve">golf cart parts melbourne</t>
  </si>
  <si>
    <t xml:space="preserve">golf cart repairs melbourne</t>
  </si>
  <si>
    <t xml:space="preserve">golf cart sales victoria</t>
  </si>
  <si>
    <t xml:space="preserve">golf cart victoria</t>
  </si>
  <si>
    <t xml:space="preserve">golf carts for sale in victoria</t>
  </si>
  <si>
    <t xml:space="preserve">golf carts for sale melbourne australia</t>
  </si>
  <si>
    <t xml:space="preserve">golf carts for sale victoria australia</t>
  </si>
  <si>
    <t xml:space="preserve">golf carts on roads victoria</t>
  </si>
  <si>
    <t xml:space="preserve">golf buggies for sale perth</t>
  </si>
  <si>
    <t xml:space="preserve">electric golf buggy for sale perth</t>
  </si>
  <si>
    <t xml:space="preserve">electric golf buggies perth</t>
  </si>
  <si>
    <t xml:space="preserve">golf buggy perth</t>
  </si>
  <si>
    <t xml:space="preserve">motorised golf buggies perth</t>
  </si>
  <si>
    <t xml:space="preserve">electric golf buggies for sale perth</t>
  </si>
  <si>
    <t xml:space="preserve">electric golf buggies perth wa</t>
  </si>
  <si>
    <t xml:space="preserve">electric golf buggy perth</t>
  </si>
  <si>
    <t xml:space="preserve">golf buggy batteries perth</t>
  </si>
  <si>
    <t xml:space="preserve">golf buggy hire perth</t>
  </si>
  <si>
    <t xml:space="preserve">golf buggy repairs perth</t>
  </si>
  <si>
    <t xml:space="preserve">golf trolley perth</t>
  </si>
  <si>
    <t xml:space="preserve">golf cart for sale perth</t>
  </si>
  <si>
    <t xml:space="preserve">golf cart perth</t>
  </si>
  <si>
    <t xml:space="preserve">golf cart world perth</t>
  </si>
  <si>
    <t xml:space="preserve">electric golf carts for sale perth</t>
  </si>
  <si>
    <t xml:space="preserve">electric golf carts for sale western australia</t>
  </si>
  <si>
    <t xml:space="preserve">electric golf carts perth</t>
  </si>
  <si>
    <t xml:space="preserve">golf cart auction perth</t>
  </si>
  <si>
    <t xml:space="preserve">golf cart western australia</t>
  </si>
  <si>
    <t xml:space="preserve">golf carts for sale perth wa</t>
  </si>
  <si>
    <t xml:space="preserve">golf carts wa</t>
  </si>
  <si>
    <t xml:space="preserve">golf carts western australia</t>
  </si>
  <si>
    <t xml:space="preserve">golf buggies for sale sydney</t>
  </si>
  <si>
    <t xml:space="preserve">electric golf buggies sydney</t>
  </si>
  <si>
    <t xml:space="preserve">golf buggies sydney</t>
  </si>
  <si>
    <t xml:space="preserve">golf buggy repairs sydney</t>
  </si>
  <si>
    <t xml:space="preserve">motorised golf buggies sydney</t>
  </si>
  <si>
    <t xml:space="preserve">electric golf buggy for sale sydney</t>
  </si>
  <si>
    <t xml:space="preserve">golf buggy hire sydney</t>
  </si>
  <si>
    <t xml:space="preserve">golf buggy newcastle</t>
  </si>
  <si>
    <t xml:space="preserve">golf cart for sale nsw</t>
  </si>
  <si>
    <t xml:space="preserve">golf carts for sale newcastle</t>
  </si>
  <si>
    <t xml:space="preserve">golf cart for sale sydney</t>
  </si>
  <si>
    <t xml:space="preserve">central coast golf carts</t>
  </si>
  <si>
    <t xml:space="preserve">golf cart insurance nsw</t>
  </si>
  <si>
    <t xml:space="preserve">golf cart parts newcastle</t>
  </si>
  <si>
    <t xml:space="preserve">golf cart parts sydney</t>
  </si>
  <si>
    <t xml:space="preserve">golf cart repairs sydney</t>
  </si>
  <si>
    <t xml:space="preserve">golf cart sales nsw</t>
  </si>
  <si>
    <t xml:space="preserve">golf cart world sydney</t>
  </si>
  <si>
    <t xml:space="preserve">golf carts for sale central coast</t>
  </si>
  <si>
    <t xml:space="preserve">golf carts for sale newcastle nsw</t>
  </si>
  <si>
    <t xml:space="preserve">golf carts nsw</t>
  </si>
  <si>
    <t xml:space="preserve">golf carts sydney</t>
  </si>
  <si>
    <t xml:space="preserve">petrol golf carts for sale nsw</t>
  </si>
  <si>
    <t xml:space="preserve">petrol golf carts for sale sydney</t>
  </si>
  <si>
    <t xml:space="preserve">sydney luxury golf carts</t>
  </si>
  <si>
    <t xml:space="preserve">golf buggy tasmania</t>
  </si>
  <si>
    <t xml:space="preserve">golf carts for sale tasmania</t>
  </si>
  <si>
    <t xml:space="preserve">golf carts for sale hobart</t>
  </si>
  <si>
    <t xml:space="preserve">golf carts for sale launceston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</si>
</sst>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4" t="n">
        <f aca="false">INDEX('Top 200 Scored'!$D$2:$D$201,MATCH($B2,'Top 200 Scored'!$B$2:$B$201,0))</f>
        <v>6600</v>
      </c>
      <c r="D2" s="2" t="n">
        <f aca="false">INDEX('Top 200 Scored'!$E$2:$E$201,MATCH($B2,'Top 200 Scored'!$B$2:$B$201,0))</f>
        <v>17</v>
      </c>
      <c r="E2" s="5" t="n">
        <f aca="false">INDEX('Top 200 Scored'!$F$2:$F$201,MATCH($B2,'Top 200 Scored'!$B$2:$B$201,0))</f>
        <v>0.39</v>
      </c>
      <c r="F2" s="2" t="str">
        <f aca="false">INDEX('Top 200 Scored'!$G$2:$G$201,MATCH($B2,'Top 200 Scored'!$B$2:$B$201,0))</f>
        <v>Commercial</v>
      </c>
      <c r="G2" s="4" t="n">
        <f aca="false">INDEX('Top 200 Scored'!$J$2:$J$201,MATCH($B2,'Top 200 Scored'!$B$2:$B$201,0))</f>
        <v>3648.348</v>
      </c>
      <c r="H2" s="2" t="s">
        <v>10</v>
      </c>
      <c r="I2" s="2" t="s">
        <v>11</v>
      </c>
    </row>
    <row r="3" customFormat="false" ht="15" hidden="false" customHeight="false" outlineLevel="0" collapsed="false">
      <c r="A3" s="2" t="n">
        <v>2</v>
      </c>
      <c r="B3" s="3" t="s">
        <v>12</v>
      </c>
      <c r="C3" s="4" t="n">
        <f aca="false">INDEX('Top 200 Scored'!$D$2:$D$201,MATCH($B3,'Top 200 Scored'!$B$2:$B$201,0))</f>
        <v>1900</v>
      </c>
      <c r="D3" s="2" t="n">
        <f aca="false">INDEX('Top 200 Scored'!$E$2:$E$201,MATCH($B3,'Top 200 Scored'!$B$2:$B$201,0))</f>
        <v>14</v>
      </c>
      <c r="E3" s="5" t="n">
        <f aca="false">INDEX('Top 200 Scored'!$F$2:$F$201,MATCH($B3,'Top 200 Scored'!$B$2:$B$201,0))</f>
        <v>0.7</v>
      </c>
      <c r="F3" s="2" t="str">
        <f aca="false">INDEX('Top 200 Scored'!$G$2:$G$201,MATCH($B3,'Top 200 Scored'!$B$2:$B$201,0))</f>
        <v>Transactional</v>
      </c>
      <c r="G3" s="4" t="n">
        <f aca="false">INDEX('Top 200 Scored'!$J$2:$J$201,MATCH($B3,'Top 200 Scored'!$B$2:$B$201,0))</f>
        <v>1192.82</v>
      </c>
      <c r="H3" s="2" t="s">
        <v>13</v>
      </c>
      <c r="I3" s="2" t="s">
        <v>14</v>
      </c>
    </row>
    <row r="4" customFormat="false" ht="15" hidden="false" customHeight="false" outlineLevel="0" collapsed="false">
      <c r="A4" s="2" t="n">
        <v>3</v>
      </c>
      <c r="B4" s="3" t="s">
        <v>15</v>
      </c>
      <c r="C4" s="4" t="n">
        <f aca="false">INDEX('Top 200 Scored'!$D$2:$D$201,MATCH($B4,'Top 200 Scored'!$B$2:$B$201,0))</f>
        <v>2900</v>
      </c>
      <c r="D4" s="2" t="n">
        <f aca="false">INDEX('Top 200 Scored'!$E$2:$E$201,MATCH($B4,'Top 200 Scored'!$B$2:$B$201,0))</f>
        <v>13</v>
      </c>
      <c r="E4" s="5" t="n">
        <f aca="false">INDEX('Top 200 Scored'!$F$2:$F$201,MATCH($B4,'Top 200 Scored'!$B$2:$B$201,0))</f>
        <v>0.39</v>
      </c>
      <c r="F4" s="2" t="str">
        <f aca="false">INDEX('Top 200 Scored'!$G$2:$G$201,MATCH($B4,'Top 200 Scored'!$B$2:$B$201,0))</f>
        <v>Informational, Commercial</v>
      </c>
      <c r="G4" s="4" t="n">
        <f aca="false">INDEX('Top 200 Scored'!$J$2:$J$201,MATCH($B4,'Top 200 Scored'!$B$2:$B$201,0))</f>
        <v>1236.27</v>
      </c>
      <c r="H4" s="2" t="s">
        <v>16</v>
      </c>
      <c r="I4" s="2" t="s">
        <v>17</v>
      </c>
    </row>
    <row r="5" customFormat="false" ht="15" hidden="false" customHeight="false" outlineLevel="0" collapsed="false">
      <c r="A5" s="2" t="n">
        <v>4</v>
      </c>
      <c r="B5" s="3" t="s">
        <v>18</v>
      </c>
      <c r="C5" s="4" t="n">
        <f aca="false">INDEX('Top 200 Scored'!$D$2:$D$201,MATCH($B5,'Top 200 Scored'!$B$2:$B$201,0))</f>
        <v>880</v>
      </c>
      <c r="D5" s="2" t="n">
        <f aca="false">INDEX('Top 200 Scored'!$E$2:$E$201,MATCH($B5,'Top 200 Scored'!$B$2:$B$201,0))</f>
        <v>11</v>
      </c>
      <c r="E5" s="5" t="n">
        <f aca="false">INDEX('Top 200 Scored'!$F$2:$F$201,MATCH($B5,'Top 200 Scored'!$B$2:$B$201,0))</f>
        <v>0.5</v>
      </c>
      <c r="F5" s="2" t="str">
        <f aca="false">INDEX('Top 200 Scored'!$G$2:$G$201,MATCH($B5,'Top 200 Scored'!$B$2:$B$201,0))</f>
        <v>Commercial</v>
      </c>
      <c r="G5" s="4" t="n">
        <f aca="false">INDEX('Top 200 Scored'!$J$2:$J$201,MATCH($B5,'Top 200 Scored'!$B$2:$B$201,0))</f>
        <v>507.5136</v>
      </c>
      <c r="H5" s="2" t="s">
        <v>16</v>
      </c>
      <c r="I5" s="2" t="s">
        <v>19</v>
      </c>
    </row>
    <row r="6" customFormat="false" ht="15" hidden="false" customHeight="false" outlineLevel="0" collapsed="false">
      <c r="A6" s="2" t="n">
        <v>5</v>
      </c>
      <c r="B6" s="3" t="s">
        <v>20</v>
      </c>
      <c r="C6" s="4" t="n">
        <f aca="false">INDEX('Top 200 Scored'!$D$2:$D$201,MATCH($B6,'Top 200 Scored'!$B$2:$B$201,0))</f>
        <v>1900</v>
      </c>
      <c r="D6" s="2" t="n">
        <f aca="false">INDEX('Top 200 Scored'!$E$2:$E$201,MATCH($B6,'Top 200 Scored'!$B$2:$B$201,0))</f>
        <v>36</v>
      </c>
      <c r="E6" s="5" t="n">
        <f aca="false">INDEX('Top 200 Scored'!$F$2:$F$201,MATCH($B6,'Top 200 Scored'!$B$2:$B$201,0))</f>
        <v>0.44</v>
      </c>
      <c r="F6" s="2" t="str">
        <f aca="false">INDEX('Top 200 Scored'!$G$2:$G$201,MATCH($B6,'Top 200 Scored'!$B$2:$B$201,0))</f>
        <v>Informational, Commercial</v>
      </c>
      <c r="G6" s="4" t="n">
        <f aca="false">INDEX('Top 200 Scored'!$J$2:$J$201,MATCH($B6,'Top 200 Scored'!$B$2:$B$201,0))</f>
        <v>578.816</v>
      </c>
      <c r="H6" s="2" t="s">
        <v>21</v>
      </c>
      <c r="I6" s="2" t="s">
        <v>22</v>
      </c>
    </row>
    <row r="7" customFormat="false" ht="15" hidden="false" customHeight="false" outlineLevel="0" collapsed="false">
      <c r="A7" s="2" t="n">
        <v>6</v>
      </c>
      <c r="B7" s="3" t="s">
        <v>23</v>
      </c>
      <c r="C7" s="4" t="n">
        <f aca="false">INDEX('Top 200 Scored'!$D$2:$D$201,MATCH($B7,'Top 200 Scored'!$B$2:$B$201,0))</f>
        <v>390</v>
      </c>
      <c r="D7" s="2" t="n">
        <f aca="false">INDEX('Top 200 Scored'!$E$2:$E$201,MATCH($B7,'Top 200 Scored'!$B$2:$B$201,0))</f>
        <v>17</v>
      </c>
      <c r="E7" s="5" t="n">
        <f aca="false">INDEX('Top 200 Scored'!$F$2:$F$201,MATCH($B7,'Top 200 Scored'!$B$2:$B$201,0))</f>
        <v>0.54</v>
      </c>
      <c r="F7" s="2" t="str">
        <f aca="false">INDEX('Top 200 Scored'!$G$2:$G$201,MATCH($B7,'Top 200 Scored'!$B$2:$B$201,0))</f>
        <v>Transactional</v>
      </c>
      <c r="G7" s="4" t="n">
        <f aca="false">INDEX('Top 200 Scored'!$J$2:$J$201,MATCH($B7,'Top 200 Scored'!$B$2:$B$201,0))</f>
        <v>223.353</v>
      </c>
      <c r="H7" s="2" t="s">
        <v>21</v>
      </c>
      <c r="I7" s="2" t="s">
        <v>24</v>
      </c>
    </row>
    <row r="8" customFormat="false" ht="15" hidden="false" customHeight="false" outlineLevel="0" collapsed="false">
      <c r="A8" s="2" t="n">
        <v>7</v>
      </c>
      <c r="B8" s="3" t="s">
        <v>25</v>
      </c>
      <c r="C8" s="4" t="n">
        <f aca="false">INDEX('Top 200 Scored'!$D$2:$D$201,MATCH($B8,'Top 200 Scored'!$B$2:$B$201,0))</f>
        <v>480</v>
      </c>
      <c r="D8" s="2" t="n">
        <f aca="false">INDEX('Top 200 Scored'!$E$2:$E$201,MATCH($B8,'Top 200 Scored'!$B$2:$B$201,0))</f>
        <v>10</v>
      </c>
      <c r="E8" s="5" t="n">
        <f aca="false">INDEX('Top 200 Scored'!$F$2:$F$201,MATCH($B8,'Top 200 Scored'!$B$2:$B$201,0))</f>
        <v>0.34</v>
      </c>
      <c r="F8" s="2" t="str">
        <f aca="false">INDEX('Top 200 Scored'!$G$2:$G$201,MATCH($B8,'Top 200 Scored'!$B$2:$B$201,0))</f>
        <v>Commercial</v>
      </c>
      <c r="G8" s="4" t="n">
        <f aca="false">INDEX('Top 200 Scored'!$J$2:$J$201,MATCH($B8,'Top 200 Scored'!$B$2:$B$201,0))</f>
        <v>388.8</v>
      </c>
      <c r="H8" s="2" t="s">
        <v>21</v>
      </c>
      <c r="I8" s="2" t="s">
        <v>26</v>
      </c>
    </row>
    <row r="9" customFormat="false" ht="15" hidden="false" customHeight="false" outlineLevel="0" collapsed="false">
      <c r="A9" s="2" t="n">
        <v>8</v>
      </c>
      <c r="B9" s="3" t="s">
        <v>27</v>
      </c>
      <c r="C9" s="4" t="n">
        <f aca="false">INDEX('Top 200 Scored'!$D$2:$D$201,MATCH($B9,'Top 200 Scored'!$B$2:$B$201,0))</f>
        <v>880</v>
      </c>
      <c r="D9" s="2" t="n">
        <f aca="false">INDEX('Top 200 Scored'!$E$2:$E$201,MATCH($B9,'Top 200 Scored'!$B$2:$B$201,0))</f>
        <v>13</v>
      </c>
      <c r="E9" s="5" t="n">
        <f aca="false">INDEX('Top 200 Scored'!$F$2:$F$201,MATCH($B9,'Top 200 Scored'!$B$2:$B$201,0))</f>
        <v>0.32</v>
      </c>
      <c r="F9" s="2" t="str">
        <f aca="false">INDEX('Top 200 Scored'!$G$2:$G$201,MATCH($B9,'Top 200 Scored'!$B$2:$B$201,0))</f>
        <v>Commercial</v>
      </c>
      <c r="G9" s="4" t="n">
        <f aca="false">INDEX('Top 200 Scored'!$J$2:$J$201,MATCH($B9,'Top 200 Scored'!$B$2:$B$201,0))</f>
        <v>427.2048</v>
      </c>
      <c r="H9" s="2" t="s">
        <v>21</v>
      </c>
      <c r="I9" s="2" t="s">
        <v>28</v>
      </c>
    </row>
    <row r="10" customFormat="false" ht="15" hidden="false" customHeight="false" outlineLevel="0" collapsed="false">
      <c r="A10" s="2" t="n">
        <v>9</v>
      </c>
      <c r="B10" s="3" t="s">
        <v>29</v>
      </c>
      <c r="C10" s="4" t="n">
        <f aca="false">INDEX('Top 200 Scored'!$D$2:$D$201,MATCH($B10,'Top 200 Scored'!$B$2:$B$201,0))</f>
        <v>480</v>
      </c>
      <c r="D10" s="2" t="n">
        <f aca="false">INDEX('Top 200 Scored'!$E$2:$E$201,MATCH($B10,'Top 200 Scored'!$B$2:$B$201,0))</f>
        <v>12</v>
      </c>
      <c r="E10" s="5" t="n">
        <f aca="false">INDEX('Top 200 Scored'!$F$2:$F$201,MATCH($B10,'Top 200 Scored'!$B$2:$B$201,0))</f>
        <v>0.4</v>
      </c>
      <c r="F10" s="2" t="str">
        <f aca="false">INDEX('Top 200 Scored'!$G$2:$G$201,MATCH($B10,'Top 200 Scored'!$B$2:$B$201,0))</f>
        <v>Commercial</v>
      </c>
      <c r="G10" s="4" t="n">
        <f aca="false">INDEX('Top 200 Scored'!$J$2:$J$201,MATCH($B10,'Top 200 Scored'!$B$2:$B$201,0))</f>
        <v>258.5088</v>
      </c>
      <c r="H10" s="2" t="s">
        <v>21</v>
      </c>
      <c r="I10" s="2" t="s">
        <v>30</v>
      </c>
    </row>
    <row r="11" customFormat="false" ht="15" hidden="false" customHeight="false" outlineLevel="0" collapsed="false">
      <c r="A11" s="2" t="n">
        <v>10</v>
      </c>
      <c r="B11" s="3" t="s">
        <v>31</v>
      </c>
      <c r="C11" s="4" t="n">
        <f aca="false">INDEX('Top 200 Scored'!$D$2:$D$201,MATCH($B11,'Top 200 Scored'!$B$2:$B$201,0))</f>
        <v>390</v>
      </c>
      <c r="D11" s="2" t="n">
        <f aca="false">INDEX('Top 200 Scored'!$E$2:$E$201,MATCH($B11,'Top 200 Scored'!$B$2:$B$201,0))</f>
        <v>5</v>
      </c>
      <c r="E11" s="5" t="n">
        <f aca="false">INDEX('Top 200 Scored'!$F$2:$F$201,MATCH($B11,'Top 200 Scored'!$B$2:$B$201,0))</f>
        <v>0.7</v>
      </c>
      <c r="F11" s="2" t="str">
        <f aca="false">INDEX('Top 200 Scored'!$G$2:$G$201,MATCH($B11,'Top 200 Scored'!$B$2:$B$201,0))</f>
        <v>Transactional</v>
      </c>
      <c r="G11" s="4" t="n">
        <f aca="false">INDEX('Top 200 Scored'!$J$2:$J$201,MATCH($B11,'Top 200 Scored'!$B$2:$B$201,0))</f>
        <v>255.645</v>
      </c>
      <c r="H11" s="2" t="s">
        <v>32</v>
      </c>
      <c r="I11" s="2" t="s">
        <v>33</v>
      </c>
    </row>
    <row r="12" customFormat="false" ht="15" hidden="false" customHeight="false" outlineLevel="0" collapsed="false">
      <c r="A12" s="2" t="n">
        <v>11</v>
      </c>
      <c r="B12" s="3" t="s">
        <v>34</v>
      </c>
      <c r="C12" s="4" t="n">
        <f aca="false">INDEX('Top 200 Scored'!$D$2:$D$201,MATCH($B12,'Top 200 Scored'!$B$2:$B$201,0))</f>
        <v>390</v>
      </c>
      <c r="D12" s="2" t="n">
        <f aca="false">INDEX('Top 200 Scored'!$E$2:$E$201,MATCH($B12,'Top 200 Scored'!$B$2:$B$201,0))</f>
        <v>4</v>
      </c>
      <c r="E12" s="5" t="n">
        <f aca="false">INDEX('Top 200 Scored'!$F$2:$F$201,MATCH($B12,'Top 200 Scored'!$B$2:$B$201,0))</f>
        <v>0.44</v>
      </c>
      <c r="F12" s="2" t="str">
        <f aca="false">INDEX('Top 200 Scored'!$G$2:$G$201,MATCH($B12,'Top 200 Scored'!$B$2:$B$201,0))</f>
        <v>Commercial</v>
      </c>
      <c r="G12" s="4" t="n">
        <f aca="false">INDEX('Top 200 Scored'!$J$2:$J$201,MATCH($B12,'Top 200 Scored'!$B$2:$B$201,0))</f>
        <v>232.5024</v>
      </c>
      <c r="H12" s="2" t="s">
        <v>32</v>
      </c>
      <c r="I12" s="2" t="s">
        <v>35</v>
      </c>
    </row>
    <row r="13" customFormat="false" ht="15" hidden="false" customHeight="false" outlineLevel="0" collapsed="false">
      <c r="A13" s="2" t="n">
        <v>12</v>
      </c>
      <c r="B13" s="3" t="s">
        <v>36</v>
      </c>
      <c r="C13" s="4" t="n">
        <f aca="false">INDEX('Top 200 Scored'!$D$2:$D$201,MATCH($B13,'Top 200 Scored'!$B$2:$B$201,0))</f>
        <v>170</v>
      </c>
      <c r="D13" s="2" t="n">
        <f aca="false">INDEX('Top 200 Scored'!$E$2:$E$201,MATCH($B13,'Top 200 Scored'!$B$2:$B$201,0))</f>
        <v>3</v>
      </c>
      <c r="E13" s="5" t="n">
        <f aca="false">INDEX('Top 200 Scored'!$F$2:$F$201,MATCH($B13,'Top 200 Scored'!$B$2:$B$201,0))</f>
        <v>0.74</v>
      </c>
      <c r="F13" s="2" t="str">
        <f aca="false">INDEX('Top 200 Scored'!$G$2:$G$201,MATCH($B13,'Top 200 Scored'!$B$2:$B$201,0))</f>
        <v>Transactional</v>
      </c>
      <c r="G13" s="4" t="n">
        <f aca="false">INDEX('Top 200 Scored'!$J$2:$J$201,MATCH($B13,'Top 200 Scored'!$B$2:$B$201,0))</f>
        <v>105.536</v>
      </c>
      <c r="H13" s="2" t="s">
        <v>37</v>
      </c>
      <c r="I13" s="2" t="s">
        <v>38</v>
      </c>
    </row>
    <row r="14" customFormat="false" ht="15" hidden="false" customHeight="false" outlineLevel="0" collapsed="false">
      <c r="A14" s="6" t="n">
        <v>13</v>
      </c>
      <c r="B14" s="7" t="s">
        <v>39</v>
      </c>
      <c r="C14" s="8" t="n">
        <f aca="false">INDEX('Top 200 Scored'!$D$2:$D$201,MATCH($B14,'Top 200 Scored'!$B$2:$B$201,0))</f>
        <v>2400</v>
      </c>
      <c r="D14" s="6" t="n">
        <f aca="false">INDEX('Top 200 Scored'!$E$2:$E$201,MATCH($B14,'Top 200 Scored'!$B$2:$B$201,0))</f>
        <v>7</v>
      </c>
      <c r="E14" s="9" t="n">
        <f aca="false">INDEX('Top 200 Scored'!$F$2:$F$201,MATCH($B14,'Top 200 Scored'!$B$2:$B$201,0))</f>
        <v>0.76</v>
      </c>
      <c r="F14" s="6" t="str">
        <f aca="false">INDEX('Top 200 Scored'!$G$2:$G$201,MATCH($B14,'Top 200 Scored'!$B$2:$B$201,0))</f>
        <v>Transactional</v>
      </c>
      <c r="G14" s="8" t="n">
        <f aca="false">INDEX('Top 200 Scored'!$J$2:$J$201,MATCH($B14,'Top 200 Scored'!$B$2:$B$201,0))</f>
        <v>2031.12</v>
      </c>
      <c r="H14" s="6" t="s">
        <v>40</v>
      </c>
      <c r="I14" s="6" t="s">
        <v>41</v>
      </c>
    </row>
    <row r="15" customFormat="false" ht="15" hidden="false" customHeight="false" outlineLevel="0" collapsed="false">
      <c r="A15" s="6" t="n">
        <v>14</v>
      </c>
      <c r="B15" s="7" t="s">
        <v>42</v>
      </c>
      <c r="C15" s="8" t="n">
        <f aca="false">INDEX('Top 200 Scored'!$D$2:$D$201,MATCH($B15,'Top 200 Scored'!$B$2:$B$201,0))</f>
        <v>720</v>
      </c>
      <c r="D15" s="6" t="n">
        <f aca="false">INDEX('Top 200 Scored'!$E$2:$E$201,MATCH($B15,'Top 200 Scored'!$B$2:$B$201,0))</f>
        <v>15</v>
      </c>
      <c r="E15" s="9" t="n">
        <f aca="false">INDEX('Top 200 Scored'!$F$2:$F$201,MATCH($B15,'Top 200 Scored'!$B$2:$B$201,0))</f>
        <v>0.74</v>
      </c>
      <c r="F15" s="6" t="str">
        <f aca="false">INDEX('Top 200 Scored'!$G$2:$G$201,MATCH($B15,'Top 200 Scored'!$B$2:$B$201,0))</f>
        <v>Commercial</v>
      </c>
      <c r="G15" s="8" t="n">
        <f aca="false">INDEX('Top 200 Scored'!$J$2:$J$201,MATCH($B15,'Top 200 Scored'!$B$2:$B$201,0))</f>
        <v>352.512</v>
      </c>
      <c r="H15" s="6" t="s">
        <v>40</v>
      </c>
      <c r="I15" s="6" t="s">
        <v>41</v>
      </c>
    </row>
    <row r="17" customFormat="false" ht="15" hidden="false" customHeight="false" outlineLevel="0" collapsed="false">
      <c r="B17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42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customFormat="false" ht="15" hidden="false" customHeight="false" outlineLevel="0" collapsed="false">
      <c r="A2" s="3" t="s">
        <v>53</v>
      </c>
      <c r="B2" s="2" t="s">
        <v>54</v>
      </c>
      <c r="C2" s="2" t="n">
        <f aca="false">SUMIFS('City Keywords'!$D$2:$D$189,'City Keywords'!$A$2:$A$189,$A2,'City Keywords'!$C$2:$C$189,"Buggy")</f>
        <v>780</v>
      </c>
      <c r="D2" s="2" t="n">
        <f aca="false">COUNTIFS('City Keywords'!$A$2:$A$189,$A2,'City Keywords'!$C$2:$C$189,"Buggy")</f>
        <v>19</v>
      </c>
      <c r="E2" s="2" t="n">
        <f aca="false">SUMIFS('City Keywords'!$D$2:$D$189,'City Keywords'!$A$2:$A$189,$A2,'City Keywords'!$C$2:$C$189,"Cart")</f>
        <v>1150</v>
      </c>
      <c r="F2" s="2" t="s">
        <v>36</v>
      </c>
      <c r="G2" s="2" t="n">
        <f aca="false">IFERROR(INDEX('City Keywords'!$D$2:$D$189,MATCH($F2,'City Keywords'!$B$2:$B$189,0)),0)</f>
        <v>170</v>
      </c>
      <c r="H2" s="2" t="n">
        <f aca="false">IFERROR(INDEX('City Keywords'!$E$2:$E$189,MATCH($F2,'City Keywords'!$B$2:$B$189,0)),"")</f>
        <v>3</v>
      </c>
      <c r="I2" s="2" t="str">
        <f aca="false">IF(C2&gt;=500,"Build first",IF(C2&gt;=200,"Build next","Only if you serve it"))</f>
        <v>Build first</v>
      </c>
    </row>
    <row r="3" customFormat="false" ht="15" hidden="false" customHeight="false" outlineLevel="0" collapsed="false">
      <c r="A3" s="3" t="s">
        <v>55</v>
      </c>
      <c r="B3" s="2" t="s">
        <v>56</v>
      </c>
      <c r="C3" s="2" t="n">
        <f aca="false">SUMIFS('City Keywords'!$D$2:$D$189,'City Keywords'!$A$2:$A$189,$A3,'City Keywords'!$C$2:$C$189,"Buggy")</f>
        <v>520</v>
      </c>
      <c r="D3" s="2" t="n">
        <f aca="false">COUNTIFS('City Keywords'!$A$2:$A$189,$A3,'City Keywords'!$C$2:$C$189,"Buggy")</f>
        <v>11</v>
      </c>
      <c r="E3" s="2" t="n">
        <f aca="false">SUMIFS('City Keywords'!$D$2:$D$189,'City Keywords'!$A$2:$A$189,$A3,'City Keywords'!$C$2:$C$189,"Cart")</f>
        <v>740</v>
      </c>
      <c r="F3" s="2" t="s">
        <v>57</v>
      </c>
      <c r="G3" s="2" t="n">
        <f aca="false">IFERROR(INDEX('City Keywords'!$D$2:$D$189,MATCH($F3,'City Keywords'!$B$2:$B$189,0)),0)</f>
        <v>90</v>
      </c>
      <c r="H3" s="2" t="n">
        <f aca="false">IFERROR(INDEX('City Keywords'!$E$2:$E$189,MATCH($F3,'City Keywords'!$B$2:$B$189,0)),"")</f>
        <v>10</v>
      </c>
      <c r="I3" s="2" t="str">
        <f aca="false">IF(C3&gt;=500,"Build first",IF(C3&gt;=200,"Build next","Only if you serve it"))</f>
        <v>Build first</v>
      </c>
    </row>
    <row r="4" customFormat="false" ht="15" hidden="false" customHeight="false" outlineLevel="0" collapsed="false">
      <c r="A4" s="3" t="s">
        <v>58</v>
      </c>
      <c r="B4" s="2" t="s">
        <v>59</v>
      </c>
      <c r="C4" s="2" t="n">
        <f aca="false">SUMIFS('City Keywords'!$D$2:$D$189,'City Keywords'!$A$2:$A$189,$A4,'City Keywords'!$C$2:$C$189,"Buggy")</f>
        <v>490</v>
      </c>
      <c r="D4" s="2" t="n">
        <f aca="false">COUNTIFS('City Keywords'!$A$2:$A$189,$A4,'City Keywords'!$C$2:$C$189,"Buggy")</f>
        <v>14</v>
      </c>
      <c r="E4" s="2" t="n">
        <f aca="false">SUMIFS('City Keywords'!$D$2:$D$189,'City Keywords'!$A$2:$A$189,$A4,'City Keywords'!$C$2:$C$189,"Cart")</f>
        <v>600</v>
      </c>
      <c r="F4" s="2" t="s">
        <v>60</v>
      </c>
      <c r="G4" s="2" t="n">
        <f aca="false">IFERROR(INDEX('City Keywords'!$D$2:$D$189,MATCH($F4,'City Keywords'!$B$2:$B$189,0)),0)</f>
        <v>90</v>
      </c>
      <c r="H4" s="2" t="n">
        <f aca="false">IFERROR(INDEX('City Keywords'!$E$2:$E$189,MATCH($F4,'City Keywords'!$B$2:$B$189,0)),"")</f>
        <v>0</v>
      </c>
      <c r="I4" s="2" t="str">
        <f aca="false">IF(C4&gt;=500,"Build first",IF(C4&gt;=200,"Build next","Only if you serve it"))</f>
        <v>Build next</v>
      </c>
    </row>
    <row r="5" customFormat="false" ht="15" hidden="false" customHeight="false" outlineLevel="0" collapsed="false">
      <c r="A5" s="3" t="s">
        <v>61</v>
      </c>
      <c r="B5" s="2" t="s">
        <v>62</v>
      </c>
      <c r="C5" s="2" t="n">
        <f aca="false">SUMIFS('City Keywords'!$D$2:$D$189,'City Keywords'!$A$2:$A$189,$A5,'City Keywords'!$C$2:$C$189,"Buggy")</f>
        <v>410</v>
      </c>
      <c r="D5" s="2" t="n">
        <f aca="false">COUNTIFS('City Keywords'!$A$2:$A$189,$A5,'City Keywords'!$C$2:$C$189,"Buggy")</f>
        <v>13</v>
      </c>
      <c r="E5" s="2" t="n">
        <f aca="false">SUMIFS('City Keywords'!$D$2:$D$189,'City Keywords'!$A$2:$A$189,$A5,'City Keywords'!$C$2:$C$189,"Cart")</f>
        <v>990</v>
      </c>
      <c r="F5" s="2" t="s">
        <v>63</v>
      </c>
      <c r="G5" s="2" t="n">
        <f aca="false">IFERROR(INDEX('City Keywords'!$D$2:$D$189,MATCH($F5,'City Keywords'!$B$2:$B$189,0)),0)</f>
        <v>90</v>
      </c>
      <c r="H5" s="2" t="n">
        <f aca="false">IFERROR(INDEX('City Keywords'!$E$2:$E$189,MATCH($F5,'City Keywords'!$B$2:$B$189,0)),"")</f>
        <v>4</v>
      </c>
      <c r="I5" s="2" t="str">
        <f aca="false">IF(C5&gt;=500,"Build first",IF(C5&gt;=200,"Build next","Only if you serve it"))</f>
        <v>Build next</v>
      </c>
    </row>
    <row r="6" customFormat="false" ht="15" hidden="false" customHeight="false" outlineLevel="0" collapsed="false">
      <c r="A6" s="3" t="s">
        <v>64</v>
      </c>
      <c r="B6" s="2" t="s">
        <v>65</v>
      </c>
      <c r="C6" s="2" t="n">
        <f aca="false">SUMIFS('City Keywords'!$D$2:$D$189,'City Keywords'!$A$2:$A$189,$A6,'City Keywords'!$C$2:$C$189,"Buggy")</f>
        <v>370</v>
      </c>
      <c r="D6" s="2" t="n">
        <f aca="false">COUNTIFS('City Keywords'!$A$2:$A$189,$A6,'City Keywords'!$C$2:$C$189,"Buggy")</f>
        <v>6</v>
      </c>
      <c r="E6" s="2" t="n">
        <f aca="false">SUMIFS('City Keywords'!$D$2:$D$189,'City Keywords'!$A$2:$A$189,$A6,'City Keywords'!$C$2:$C$189,"Cart")</f>
        <v>450</v>
      </c>
      <c r="F6" s="2" t="s">
        <v>66</v>
      </c>
      <c r="G6" s="2" t="n">
        <f aca="false">IFERROR(INDEX('City Keywords'!$D$2:$D$189,MATCH($F6,'City Keywords'!$B$2:$B$189,0)),0)</f>
        <v>110</v>
      </c>
      <c r="H6" s="2" t="n">
        <f aca="false">IFERROR(INDEX('City Keywords'!$E$2:$E$189,MATCH($F6,'City Keywords'!$B$2:$B$189,0)),"")</f>
        <v>5</v>
      </c>
      <c r="I6" s="2" t="str">
        <f aca="false">IF(C6&gt;=500,"Build first",IF(C6&gt;=200,"Build next","Only if you serve it"))</f>
        <v>Build next</v>
      </c>
    </row>
    <row r="7" customFormat="false" ht="15" hidden="false" customHeight="false" outlineLevel="0" collapsed="false">
      <c r="A7" s="3" t="s">
        <v>67</v>
      </c>
      <c r="B7" s="2" t="s">
        <v>68</v>
      </c>
      <c r="C7" s="2" t="n">
        <f aca="false">SUMIFS('City Keywords'!$D$2:$D$189,'City Keywords'!$A$2:$A$189,$A7,'City Keywords'!$C$2:$C$189,"Buggy")</f>
        <v>200</v>
      </c>
      <c r="D7" s="2" t="n">
        <f aca="false">COUNTIFS('City Keywords'!$A$2:$A$189,$A7,'City Keywords'!$C$2:$C$189,"Buggy")</f>
        <v>8</v>
      </c>
      <c r="E7" s="2" t="n">
        <f aca="false">SUMIFS('City Keywords'!$D$2:$D$189,'City Keywords'!$A$2:$A$189,$A7,'City Keywords'!$C$2:$C$189,"Cart")</f>
        <v>430</v>
      </c>
      <c r="F7" s="2" t="s">
        <v>69</v>
      </c>
      <c r="G7" s="2" t="n">
        <f aca="false">IFERROR(INDEX('City Keywords'!$D$2:$D$189,MATCH($F7,'City Keywords'!$B$2:$B$189,0)),0)</f>
        <v>40</v>
      </c>
      <c r="H7" s="2" t="n">
        <f aca="false">IFERROR(INDEX('City Keywords'!$E$2:$E$189,MATCH($F7,'City Keywords'!$B$2:$B$189,0)),"")</f>
        <v>0</v>
      </c>
      <c r="I7" s="2" t="str">
        <f aca="false">IF(C7&gt;=500,"Build first",IF(C7&gt;=200,"Build next","Only if you serve it"))</f>
        <v>Build next</v>
      </c>
    </row>
    <row r="8" customFormat="false" ht="15" hidden="false" customHeight="false" outlineLevel="0" collapsed="false">
      <c r="A8" s="3" t="s">
        <v>70</v>
      </c>
      <c r="B8" s="2" t="s">
        <v>71</v>
      </c>
      <c r="C8" s="2" t="n">
        <f aca="false">SUMIFS('City Keywords'!$D$2:$D$189,'City Keywords'!$A$2:$A$189,$A8,'City Keywords'!$C$2:$C$189,"Buggy")</f>
        <v>40</v>
      </c>
      <c r="D8" s="2" t="n">
        <f aca="false">COUNTIFS('City Keywords'!$A$2:$A$189,$A8,'City Keywords'!$C$2:$C$189,"Buggy")</f>
        <v>2</v>
      </c>
      <c r="E8" s="2" t="n">
        <f aca="false">SUMIFS('City Keywords'!$D$2:$D$189,'City Keywords'!$A$2:$A$189,$A8,'City Keywords'!$C$2:$C$189,"Cart")</f>
        <v>40</v>
      </c>
      <c r="F8" s="2" t="s">
        <v>72</v>
      </c>
      <c r="G8" s="2" t="n">
        <f aca="false">IFERROR(INDEX('City Keywords'!$D$2:$D$189,MATCH($F8,'City Keywords'!$B$2:$B$189,0)),0)</f>
        <v>20</v>
      </c>
      <c r="H8" s="2" t="n">
        <f aca="false">IFERROR(INDEX('City Keywords'!$E$2:$E$189,MATCH($F8,'City Keywords'!$B$2:$B$189,0)),"")</f>
        <v>0</v>
      </c>
      <c r="I8" s="2" t="str">
        <f aca="false">IF(C8&gt;=500,"Build first",IF(C8&gt;=200,"Build next","Only if you serve it"))</f>
        <v>Only if you serve it</v>
      </c>
    </row>
    <row r="9" customFormat="false" ht="15" hidden="false" customHeight="false" outlineLevel="0" collapsed="false">
      <c r="A9" s="3" t="s">
        <v>73</v>
      </c>
      <c r="B9" s="2" t="s">
        <v>74</v>
      </c>
      <c r="C9" s="2" t="n">
        <f aca="false">SUMIFS('City Keywords'!$D$2:$D$189,'City Keywords'!$A$2:$A$189,$A9,'City Keywords'!$C$2:$C$189,"Buggy")</f>
        <v>40</v>
      </c>
      <c r="D9" s="2" t="n">
        <f aca="false">COUNTIFS('City Keywords'!$A$2:$A$189,$A9,'City Keywords'!$C$2:$C$189,"Buggy")</f>
        <v>2</v>
      </c>
      <c r="E9" s="2" t="n">
        <f aca="false">SUMIFS('City Keywords'!$D$2:$D$189,'City Keywords'!$A$2:$A$189,$A9,'City Keywords'!$C$2:$C$189,"Cart")</f>
        <v>80</v>
      </c>
      <c r="F9" s="2" t="s">
        <v>75</v>
      </c>
      <c r="G9" s="2" t="n">
        <f aca="false">IFERROR(INDEX('City Keywords'!$D$2:$D$189,MATCH($F9,'City Keywords'!$B$2:$B$189,0)),0)</f>
        <v>20</v>
      </c>
      <c r="H9" s="2" t="n">
        <f aca="false">IFERROR(INDEX('City Keywords'!$E$2:$E$189,MATCH($F9,'City Keywords'!$B$2:$B$189,0)),"")</f>
        <v>0</v>
      </c>
      <c r="I9" s="2" t="str">
        <f aca="false">IF(C9&gt;=500,"Build first",IF(C9&gt;=200,"Build next","Only if you serve it"))</f>
        <v>Only if you serve it</v>
      </c>
    </row>
    <row r="10" customFormat="false" ht="15" hidden="false" customHeight="false" outlineLevel="0" collapsed="false">
      <c r="A10" s="3" t="s">
        <v>76</v>
      </c>
      <c r="B10" s="2" t="s">
        <v>77</v>
      </c>
      <c r="C10" s="2" t="n">
        <f aca="false">SUMIFS('City Keywords'!$D$2:$D$189,'City Keywords'!$A$2:$A$189,$A10,'City Keywords'!$C$2:$C$189,"Buggy")</f>
        <v>30</v>
      </c>
      <c r="D10" s="2" t="n">
        <f aca="false">COUNTIFS('City Keywords'!$A$2:$A$189,$A10,'City Keywords'!$C$2:$C$189,"Buggy")</f>
        <v>1</v>
      </c>
      <c r="E10" s="2" t="n">
        <f aca="false">SUMIFS('City Keywords'!$D$2:$D$189,'City Keywords'!$A$2:$A$189,$A10,'City Keywords'!$C$2:$C$189,"Cart")</f>
        <v>60</v>
      </c>
      <c r="F10" s="2" t="s">
        <v>78</v>
      </c>
      <c r="G10" s="2" t="n">
        <f aca="false">IFERROR(INDEX('City Keywords'!$D$2:$D$189,MATCH($F10,'City Keywords'!$B$2:$B$189,0)),0)</f>
        <v>30</v>
      </c>
      <c r="H10" s="2" t="n">
        <f aca="false">IFERROR(INDEX('City Keywords'!$E$2:$E$189,MATCH($F10,'City Keywords'!$B$2:$B$189,0)),"")</f>
        <v>0</v>
      </c>
      <c r="I10" s="2" t="str">
        <f aca="false">IF(C10&gt;=500,"Build first",IF(C10&gt;=200,"Build next","Only if you serve it"))</f>
        <v>Only if you serve it</v>
      </c>
    </row>
    <row r="12" customFormat="false" ht="15" hidden="false" customHeight="false" outlineLevel="0" collapsed="false">
      <c r="A12" s="11" t="s">
        <v>79</v>
      </c>
      <c r="C12" s="11" t="n">
        <f aca="false">SUM(C2:C10)</f>
        <v>2880</v>
      </c>
      <c r="E12" s="11" t="n">
        <f aca="false">SUM(E2:E10)</f>
        <v>4540</v>
      </c>
    </row>
    <row r="14" customFormat="false" ht="15" hidden="false" customHeight="false" outlineLevel="0" collapsed="false">
      <c r="A14" s="1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2" t="s">
        <v>81</v>
      </c>
    </row>
    <row r="2" customFormat="false" ht="15" hidden="false" customHeight="false" outlineLevel="0" collapsed="false">
      <c r="A2" s="13" t="s">
        <v>82</v>
      </c>
    </row>
    <row r="4" customFormat="false" ht="15" hidden="false" customHeight="false" outlineLevel="0" collapsed="false">
      <c r="A4" s="1" t="s">
        <v>5</v>
      </c>
      <c r="B4" s="1" t="s">
        <v>83</v>
      </c>
    </row>
    <row r="5" customFormat="false" ht="15" hidden="false" customHeight="false" outlineLevel="0" collapsed="false">
      <c r="A5" s="13" t="s">
        <v>84</v>
      </c>
      <c r="B5" s="14" t="n">
        <v>1</v>
      </c>
    </row>
    <row r="6" customFormat="false" ht="15" hidden="false" customHeight="false" outlineLevel="0" collapsed="false">
      <c r="A6" s="13" t="s">
        <v>85</v>
      </c>
      <c r="B6" s="14" t="n">
        <v>0.9</v>
      </c>
    </row>
    <row r="7" customFormat="false" ht="15" hidden="false" customHeight="false" outlineLevel="0" collapsed="false">
      <c r="A7" s="13" t="s">
        <v>86</v>
      </c>
      <c r="B7" s="14" t="n">
        <v>0.8</v>
      </c>
    </row>
    <row r="8" customFormat="false" ht="15" hidden="false" customHeight="false" outlineLevel="0" collapsed="false">
      <c r="A8" s="13" t="s">
        <v>87</v>
      </c>
      <c r="B8" s="14" t="n">
        <v>0.7</v>
      </c>
    </row>
    <row r="9" customFormat="false" ht="15" hidden="false" customHeight="false" outlineLevel="0" collapsed="false">
      <c r="A9" s="13" t="s">
        <v>88</v>
      </c>
      <c r="B9" s="14" t="n">
        <v>0.3</v>
      </c>
    </row>
    <row r="10" customFormat="false" ht="15" hidden="false" customHeight="false" outlineLevel="0" collapsed="false">
      <c r="A10" s="13" t="s">
        <v>89</v>
      </c>
      <c r="B10" s="14" t="n">
        <v>0.3</v>
      </c>
    </row>
    <row r="11" customFormat="false" ht="15" hidden="false" customHeight="false" outlineLevel="0" collapsed="false">
      <c r="A11" s="13" t="s">
        <v>90</v>
      </c>
      <c r="B11" s="14" t="n">
        <v>0.5</v>
      </c>
    </row>
    <row r="13" customFormat="false" ht="15" hidden="false" customHeight="false" outlineLevel="0" collapsed="false">
      <c r="A13" s="15" t="s">
        <v>91</v>
      </c>
    </row>
    <row r="14" customFormat="false" ht="31.5" hidden="false" customHeight="true" outlineLevel="0" collapsed="false">
      <c r="A14" s="16" t="s">
        <v>92</v>
      </c>
      <c r="B14" s="16"/>
      <c r="C14" s="16"/>
      <c r="D14" s="16"/>
      <c r="E14" s="16"/>
      <c r="F14" s="16"/>
    </row>
    <row r="15" customFormat="false" ht="31.5" hidden="false" customHeight="true" outlineLevel="0" collapsed="false">
      <c r="A15" s="16" t="s">
        <v>93</v>
      </c>
      <c r="B15" s="16"/>
      <c r="C15" s="16"/>
      <c r="D15" s="16"/>
      <c r="E15" s="16"/>
      <c r="F15" s="16"/>
    </row>
    <row r="16" customFormat="false" ht="31.5" hidden="false" customHeight="true" outlineLevel="0" collapsed="false">
      <c r="A16" s="16" t="s">
        <v>94</v>
      </c>
      <c r="B16" s="16"/>
      <c r="C16" s="16"/>
      <c r="D16" s="16"/>
      <c r="E16" s="16"/>
      <c r="F16" s="16"/>
    </row>
    <row r="17" customFormat="false" ht="31.5" hidden="false" customHeight="true" outlineLevel="0" collapsed="false">
      <c r="A17" s="16" t="s">
        <v>95</v>
      </c>
      <c r="B17" s="16"/>
      <c r="C17" s="16"/>
      <c r="D17" s="16"/>
      <c r="E17" s="16"/>
      <c r="F17" s="16"/>
    </row>
    <row r="18" customFormat="false" ht="31.5" hidden="false" customHeight="true" outlineLevel="0" collapsed="false">
      <c r="A18" s="16" t="s">
        <v>96</v>
      </c>
      <c r="B18" s="16"/>
      <c r="C18" s="16"/>
      <c r="D18" s="16"/>
      <c r="E18" s="16"/>
      <c r="F18" s="16"/>
    </row>
    <row r="19" customFormat="false" ht="31.5" hidden="false" customHeight="true" outlineLevel="0" collapsed="false">
      <c r="A19" s="16" t="s">
        <v>97</v>
      </c>
      <c r="B19" s="16"/>
      <c r="C19" s="16"/>
      <c r="D19" s="16"/>
      <c r="E19" s="16"/>
      <c r="F19" s="16"/>
    </row>
  </sheetData>
  <mergeCells count="6"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98</v>
      </c>
      <c r="B1" s="1" t="s">
        <v>1</v>
      </c>
      <c r="C1" s="1" t="s">
        <v>99</v>
      </c>
      <c r="D1" s="1" t="s">
        <v>100</v>
      </c>
      <c r="E1" s="1" t="s">
        <v>3</v>
      </c>
      <c r="F1" s="1" t="s">
        <v>4</v>
      </c>
      <c r="G1" s="1" t="s">
        <v>5</v>
      </c>
      <c r="H1" s="1" t="s">
        <v>101</v>
      </c>
      <c r="I1" s="1" t="s">
        <v>102</v>
      </c>
      <c r="J1" s="1" t="s">
        <v>6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103</v>
      </c>
      <c r="D2" s="4" t="n">
        <v>6600</v>
      </c>
      <c r="E2" s="2" t="n">
        <v>17</v>
      </c>
      <c r="F2" s="5" t="n">
        <v>0.39</v>
      </c>
      <c r="G2" s="2" t="s">
        <v>85</v>
      </c>
      <c r="H2" s="2" t="n">
        <v>74</v>
      </c>
      <c r="I2" s="17" t="n">
        <f aca="false">IFERROR(VLOOKUP(G2,Assumptions!$A$5:$B$10,2,FALSE()),Assumptions!$B$11)</f>
        <v>0.9</v>
      </c>
      <c r="J2" s="18" t="n">
        <f aca="false">D2*(1-E2/100)*I2*H2/100</f>
        <v>3648.348</v>
      </c>
    </row>
    <row r="3" customFormat="false" ht="15" hidden="false" customHeight="false" outlineLevel="0" collapsed="false">
      <c r="A3" s="2" t="n">
        <v>2</v>
      </c>
      <c r="B3" s="2" t="s">
        <v>104</v>
      </c>
      <c r="C3" s="2" t="s">
        <v>105</v>
      </c>
      <c r="D3" s="4" t="n">
        <v>5400</v>
      </c>
      <c r="E3" s="2" t="n">
        <v>20</v>
      </c>
      <c r="F3" s="5" t="n">
        <v>0.75</v>
      </c>
      <c r="G3" s="2" t="s">
        <v>85</v>
      </c>
      <c r="H3" s="2" t="n">
        <v>79</v>
      </c>
      <c r="I3" s="17" t="n">
        <f aca="false">IFERROR(VLOOKUP(G3,Assumptions!$A$5:$B$10,2,FALSE()),Assumptions!$B$11)</f>
        <v>0.9</v>
      </c>
      <c r="J3" s="18" t="n">
        <f aca="false">D3*(1-E3/100)*I3*H3/100</f>
        <v>3071.52</v>
      </c>
    </row>
    <row r="4" customFormat="false" ht="15" hidden="false" customHeight="false" outlineLevel="0" collapsed="false">
      <c r="A4" s="2" t="n">
        <v>3</v>
      </c>
      <c r="B4" s="2" t="s">
        <v>39</v>
      </c>
      <c r="C4" s="2" t="s">
        <v>105</v>
      </c>
      <c r="D4" s="4" t="n">
        <v>2400</v>
      </c>
      <c r="E4" s="2" t="n">
        <v>7</v>
      </c>
      <c r="F4" s="5" t="n">
        <v>0.76</v>
      </c>
      <c r="G4" s="2" t="s">
        <v>84</v>
      </c>
      <c r="H4" s="2" t="n">
        <v>91</v>
      </c>
      <c r="I4" s="17" t="n">
        <f aca="false">IFERROR(VLOOKUP(G4,Assumptions!$A$5:$B$10,2,FALSE()),Assumptions!$B$11)</f>
        <v>1</v>
      </c>
      <c r="J4" s="18" t="n">
        <f aca="false">D4*(1-E4/100)*I4*H4/100</f>
        <v>2031.12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103</v>
      </c>
      <c r="D5" s="4" t="n">
        <v>2900</v>
      </c>
      <c r="E5" s="2" t="n">
        <v>13</v>
      </c>
      <c r="F5" s="5" t="n">
        <v>0.39</v>
      </c>
      <c r="G5" s="2" t="s">
        <v>87</v>
      </c>
      <c r="H5" s="2" t="n">
        <v>70</v>
      </c>
      <c r="I5" s="17" t="n">
        <f aca="false">IFERROR(VLOOKUP(G5,Assumptions!$A$5:$B$10,2,FALSE()),Assumptions!$B$11)</f>
        <v>0.7</v>
      </c>
      <c r="J5" s="18" t="n">
        <f aca="false">D5*(1-E5/100)*I5*H5/100</f>
        <v>1236.27</v>
      </c>
    </row>
    <row r="6" customFormat="false" ht="15" hidden="false" customHeight="false" outlineLevel="0" collapsed="false">
      <c r="A6" s="2" t="n">
        <v>5</v>
      </c>
      <c r="B6" s="2" t="s">
        <v>12</v>
      </c>
      <c r="C6" s="2" t="s">
        <v>103</v>
      </c>
      <c r="D6" s="4" t="n">
        <v>1900</v>
      </c>
      <c r="E6" s="2" t="n">
        <v>14</v>
      </c>
      <c r="F6" s="5" t="n">
        <v>0.7</v>
      </c>
      <c r="G6" s="2" t="s">
        <v>84</v>
      </c>
      <c r="H6" s="2" t="n">
        <v>73</v>
      </c>
      <c r="I6" s="17" t="n">
        <f aca="false">IFERROR(VLOOKUP(G6,Assumptions!$A$5:$B$10,2,FALSE()),Assumptions!$B$11)</f>
        <v>1</v>
      </c>
      <c r="J6" s="18" t="n">
        <f aca="false">D6*(1-E6/100)*I6*H6/100</f>
        <v>1192.82</v>
      </c>
    </row>
    <row r="7" customFormat="false" ht="15" hidden="false" customHeight="false" outlineLevel="0" collapsed="false">
      <c r="A7" s="2" t="n">
        <v>6</v>
      </c>
      <c r="B7" s="2" t="s">
        <v>106</v>
      </c>
      <c r="C7" s="2" t="s">
        <v>105</v>
      </c>
      <c r="D7" s="4" t="n">
        <v>1300</v>
      </c>
      <c r="E7" s="2" t="n">
        <v>8</v>
      </c>
      <c r="F7" s="5" t="n">
        <v>0.69</v>
      </c>
      <c r="G7" s="2" t="s">
        <v>84</v>
      </c>
      <c r="H7" s="2" t="n">
        <v>86</v>
      </c>
      <c r="I7" s="17" t="n">
        <f aca="false">IFERROR(VLOOKUP(G7,Assumptions!$A$5:$B$10,2,FALSE()),Assumptions!$B$11)</f>
        <v>1</v>
      </c>
      <c r="J7" s="18" t="n">
        <f aca="false">D7*(1-E7/100)*I7*H7/100</f>
        <v>1028.56</v>
      </c>
    </row>
    <row r="8" customFormat="false" ht="15" hidden="false" customHeight="false" outlineLevel="0" collapsed="false">
      <c r="A8" s="2" t="n">
        <v>7</v>
      </c>
      <c r="B8" s="2" t="s">
        <v>107</v>
      </c>
      <c r="C8" s="2" t="s">
        <v>105</v>
      </c>
      <c r="D8" s="4" t="n">
        <v>1300</v>
      </c>
      <c r="E8" s="2" t="n">
        <v>17</v>
      </c>
      <c r="F8" s="5" t="n">
        <v>0.68</v>
      </c>
      <c r="G8" s="2" t="s">
        <v>85</v>
      </c>
      <c r="H8" s="2" t="n">
        <v>80</v>
      </c>
      <c r="I8" s="17" t="n">
        <f aca="false">IFERROR(VLOOKUP(G8,Assumptions!$A$5:$B$10,2,FALSE()),Assumptions!$B$11)</f>
        <v>0.9</v>
      </c>
      <c r="J8" s="18" t="n">
        <f aca="false">D8*(1-E8/100)*I8*H8/100</f>
        <v>776.88</v>
      </c>
    </row>
    <row r="9" customFormat="false" ht="15" hidden="false" customHeight="false" outlineLevel="0" collapsed="false">
      <c r="A9" s="2" t="n">
        <v>8</v>
      </c>
      <c r="B9" s="2" t="s">
        <v>20</v>
      </c>
      <c r="C9" s="2" t="s">
        <v>103</v>
      </c>
      <c r="D9" s="4" t="n">
        <v>1900</v>
      </c>
      <c r="E9" s="2" t="n">
        <v>36</v>
      </c>
      <c r="F9" s="5" t="n">
        <v>0.44</v>
      </c>
      <c r="G9" s="2" t="s">
        <v>87</v>
      </c>
      <c r="H9" s="2" t="n">
        <v>68</v>
      </c>
      <c r="I9" s="17" t="n">
        <f aca="false">IFERROR(VLOOKUP(G9,Assumptions!$A$5:$B$10,2,FALSE()),Assumptions!$B$11)</f>
        <v>0.7</v>
      </c>
      <c r="J9" s="18" t="n">
        <f aca="false">D9*(1-E9/100)*I9*H9/100</f>
        <v>578.816</v>
      </c>
    </row>
    <row r="10" customFormat="false" ht="15" hidden="false" customHeight="false" outlineLevel="0" collapsed="false">
      <c r="A10" s="2" t="n">
        <v>9</v>
      </c>
      <c r="B10" s="2" t="s">
        <v>18</v>
      </c>
      <c r="C10" s="2" t="s">
        <v>103</v>
      </c>
      <c r="D10" s="4" t="n">
        <v>880</v>
      </c>
      <c r="E10" s="2" t="n">
        <v>11</v>
      </c>
      <c r="F10" s="5" t="n">
        <v>0.5</v>
      </c>
      <c r="G10" s="2" t="s">
        <v>85</v>
      </c>
      <c r="H10" s="2" t="n">
        <v>72</v>
      </c>
      <c r="I10" s="17" t="n">
        <f aca="false">IFERROR(VLOOKUP(G10,Assumptions!$A$5:$B$10,2,FALSE()),Assumptions!$B$11)</f>
        <v>0.9</v>
      </c>
      <c r="J10" s="18" t="n">
        <f aca="false">D10*(1-E10/100)*I10*H10/100</f>
        <v>507.5136</v>
      </c>
    </row>
    <row r="11" customFormat="false" ht="15" hidden="false" customHeight="false" outlineLevel="0" collapsed="false">
      <c r="A11" s="2" t="n">
        <v>10</v>
      </c>
      <c r="B11" s="2" t="s">
        <v>27</v>
      </c>
      <c r="C11" s="2" t="s">
        <v>103</v>
      </c>
      <c r="D11" s="4" t="n">
        <v>880</v>
      </c>
      <c r="E11" s="2" t="n">
        <v>13</v>
      </c>
      <c r="F11" s="5" t="n">
        <v>0.32</v>
      </c>
      <c r="G11" s="2" t="s">
        <v>85</v>
      </c>
      <c r="H11" s="2" t="n">
        <v>62</v>
      </c>
      <c r="I11" s="17" t="n">
        <f aca="false">IFERROR(VLOOKUP(G11,Assumptions!$A$5:$B$10,2,FALSE()),Assumptions!$B$11)</f>
        <v>0.9</v>
      </c>
      <c r="J11" s="18" t="n">
        <f aca="false">D11*(1-E11/100)*I11*H11/100</f>
        <v>427.2048</v>
      </c>
    </row>
    <row r="12" customFormat="false" ht="15" hidden="false" customHeight="false" outlineLevel="0" collapsed="false">
      <c r="A12" s="2" t="n">
        <v>11</v>
      </c>
      <c r="B12" s="2" t="s">
        <v>25</v>
      </c>
      <c r="C12" s="2" t="s">
        <v>103</v>
      </c>
      <c r="D12" s="4" t="n">
        <v>480</v>
      </c>
      <c r="E12" s="2" t="n">
        <v>10</v>
      </c>
      <c r="F12" s="5" t="n">
        <v>0.34</v>
      </c>
      <c r="G12" s="2" t="s">
        <v>85</v>
      </c>
      <c r="H12" s="2" t="n">
        <v>100</v>
      </c>
      <c r="I12" s="17" t="n">
        <f aca="false">IFERROR(VLOOKUP(G12,Assumptions!$A$5:$B$10,2,FALSE()),Assumptions!$B$11)</f>
        <v>0.9</v>
      </c>
      <c r="J12" s="18" t="n">
        <f aca="false">D12*(1-E12/100)*I12*H12/100</f>
        <v>388.8</v>
      </c>
    </row>
    <row r="13" customFormat="false" ht="15" hidden="false" customHeight="false" outlineLevel="0" collapsed="false">
      <c r="A13" s="2" t="n">
        <v>12</v>
      </c>
      <c r="B13" s="2" t="s">
        <v>42</v>
      </c>
      <c r="C13" s="2" t="s">
        <v>105</v>
      </c>
      <c r="D13" s="4" t="n">
        <v>720</v>
      </c>
      <c r="E13" s="2" t="n">
        <v>15</v>
      </c>
      <c r="F13" s="5" t="n">
        <v>0.74</v>
      </c>
      <c r="G13" s="2" t="s">
        <v>85</v>
      </c>
      <c r="H13" s="2" t="n">
        <v>64</v>
      </c>
      <c r="I13" s="17" t="n">
        <f aca="false">IFERROR(VLOOKUP(G13,Assumptions!$A$5:$B$10,2,FALSE()),Assumptions!$B$11)</f>
        <v>0.9</v>
      </c>
      <c r="J13" s="18" t="n">
        <f aca="false">D13*(1-E13/100)*I13*H13/100</f>
        <v>352.512</v>
      </c>
    </row>
    <row r="14" customFormat="false" ht="15" hidden="false" customHeight="false" outlineLevel="0" collapsed="false">
      <c r="A14" s="2" t="n">
        <v>13</v>
      </c>
      <c r="B14" s="2" t="s">
        <v>108</v>
      </c>
      <c r="C14" s="2" t="s">
        <v>105</v>
      </c>
      <c r="D14" s="4" t="n">
        <v>590</v>
      </c>
      <c r="E14" s="2" t="n">
        <v>11</v>
      </c>
      <c r="F14" s="5" t="n">
        <v>0.35</v>
      </c>
      <c r="G14" s="2" t="s">
        <v>85</v>
      </c>
      <c r="H14" s="2" t="n">
        <v>73</v>
      </c>
      <c r="I14" s="17" t="n">
        <f aca="false">IFERROR(VLOOKUP(G14,Assumptions!$A$5:$B$10,2,FALSE()),Assumptions!$B$11)</f>
        <v>0.9</v>
      </c>
      <c r="J14" s="18" t="n">
        <f aca="false">D14*(1-E14/100)*I14*H14/100</f>
        <v>344.9907</v>
      </c>
    </row>
    <row r="15" customFormat="false" ht="15" hidden="false" customHeight="false" outlineLevel="0" collapsed="false">
      <c r="A15" s="2" t="n">
        <v>14</v>
      </c>
      <c r="B15" s="2" t="s">
        <v>109</v>
      </c>
      <c r="C15" s="2" t="s">
        <v>103</v>
      </c>
      <c r="D15" s="4" t="n">
        <v>480</v>
      </c>
      <c r="E15" s="2" t="n">
        <v>12</v>
      </c>
      <c r="F15" s="5" t="n">
        <v>0.34</v>
      </c>
      <c r="G15" s="2" t="s">
        <v>85</v>
      </c>
      <c r="H15" s="2" t="n">
        <v>86</v>
      </c>
      <c r="I15" s="17" t="n">
        <f aca="false">IFERROR(VLOOKUP(G15,Assumptions!$A$5:$B$10,2,FALSE()),Assumptions!$B$11)</f>
        <v>0.9</v>
      </c>
      <c r="J15" s="18" t="n">
        <f aca="false">D15*(1-E15/100)*I15*H15/100</f>
        <v>326.9376</v>
      </c>
    </row>
    <row r="16" customFormat="false" ht="15" hidden="false" customHeight="false" outlineLevel="0" collapsed="false">
      <c r="A16" s="2" t="n">
        <v>15</v>
      </c>
      <c r="B16" s="2" t="s">
        <v>110</v>
      </c>
      <c r="C16" s="2" t="s">
        <v>103</v>
      </c>
      <c r="D16" s="4" t="n">
        <v>590</v>
      </c>
      <c r="E16" s="2" t="n">
        <v>14</v>
      </c>
      <c r="F16" s="5" t="n">
        <v>0.39</v>
      </c>
      <c r="G16" s="2" t="s">
        <v>87</v>
      </c>
      <c r="H16" s="2" t="n">
        <v>76</v>
      </c>
      <c r="I16" s="17" t="n">
        <f aca="false">IFERROR(VLOOKUP(G16,Assumptions!$A$5:$B$10,2,FALSE()),Assumptions!$B$11)</f>
        <v>0.7</v>
      </c>
      <c r="J16" s="18" t="n">
        <f aca="false">D16*(1-E16/100)*I16*H16/100</f>
        <v>269.9368</v>
      </c>
    </row>
    <row r="17" customFormat="false" ht="15" hidden="false" customHeight="false" outlineLevel="0" collapsed="false">
      <c r="A17" s="2" t="n">
        <v>16</v>
      </c>
      <c r="B17" s="2" t="s">
        <v>111</v>
      </c>
      <c r="C17" s="2" t="s">
        <v>103</v>
      </c>
      <c r="D17" s="4" t="n">
        <v>480</v>
      </c>
      <c r="E17" s="2" t="n">
        <v>12</v>
      </c>
      <c r="F17" s="5" t="n">
        <v>0.39</v>
      </c>
      <c r="G17" s="2" t="s">
        <v>85</v>
      </c>
      <c r="H17" s="2" t="n">
        <v>70</v>
      </c>
      <c r="I17" s="17" t="n">
        <f aca="false">IFERROR(VLOOKUP(G17,Assumptions!$A$5:$B$10,2,FALSE()),Assumptions!$B$11)</f>
        <v>0.9</v>
      </c>
      <c r="J17" s="18" t="n">
        <f aca="false">D17*(1-E17/100)*I17*H17/100</f>
        <v>266.112</v>
      </c>
    </row>
    <row r="18" customFormat="false" ht="15" hidden="false" customHeight="false" outlineLevel="0" collapsed="false">
      <c r="A18" s="2" t="n">
        <v>17</v>
      </c>
      <c r="B18" s="2" t="s">
        <v>29</v>
      </c>
      <c r="C18" s="2" t="s">
        <v>103</v>
      </c>
      <c r="D18" s="4" t="n">
        <v>480</v>
      </c>
      <c r="E18" s="2" t="n">
        <v>12</v>
      </c>
      <c r="F18" s="5" t="n">
        <v>0.4</v>
      </c>
      <c r="G18" s="2" t="s">
        <v>85</v>
      </c>
      <c r="H18" s="2" t="n">
        <v>68</v>
      </c>
      <c r="I18" s="17" t="n">
        <f aca="false">IFERROR(VLOOKUP(G18,Assumptions!$A$5:$B$10,2,FALSE()),Assumptions!$B$11)</f>
        <v>0.9</v>
      </c>
      <c r="J18" s="18" t="n">
        <f aca="false">D18*(1-E18/100)*I18*H18/100</f>
        <v>258.5088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 t="s">
        <v>103</v>
      </c>
      <c r="D19" s="4" t="n">
        <v>390</v>
      </c>
      <c r="E19" s="2" t="n">
        <v>5</v>
      </c>
      <c r="F19" s="5" t="n">
        <v>0.7</v>
      </c>
      <c r="G19" s="2" t="s">
        <v>84</v>
      </c>
      <c r="H19" s="2" t="n">
        <v>69</v>
      </c>
      <c r="I19" s="17" t="n">
        <f aca="false">IFERROR(VLOOKUP(G19,Assumptions!$A$5:$B$10,2,FALSE()),Assumptions!$B$11)</f>
        <v>1</v>
      </c>
      <c r="J19" s="18" t="n">
        <f aca="false">D19*(1-E19/100)*I19*H19/100</f>
        <v>255.645</v>
      </c>
    </row>
    <row r="20" customFormat="false" ht="15" hidden="false" customHeight="false" outlineLevel="0" collapsed="false">
      <c r="A20" s="2" t="n">
        <v>19</v>
      </c>
      <c r="B20" s="2" t="s">
        <v>112</v>
      </c>
      <c r="C20" s="2" t="s">
        <v>103</v>
      </c>
      <c r="D20" s="4" t="n">
        <v>320</v>
      </c>
      <c r="E20" s="2" t="n">
        <v>7</v>
      </c>
      <c r="F20" s="5" t="n">
        <v>0.34</v>
      </c>
      <c r="G20" s="2" t="s">
        <v>85</v>
      </c>
      <c r="H20" s="2" t="n">
        <v>90</v>
      </c>
      <c r="I20" s="17" t="n">
        <f aca="false">IFERROR(VLOOKUP(G20,Assumptions!$A$5:$B$10,2,FALSE()),Assumptions!$B$11)</f>
        <v>0.9</v>
      </c>
      <c r="J20" s="18" t="n">
        <f aca="false">D20*(1-E20/100)*I20*H20/100</f>
        <v>241.056</v>
      </c>
    </row>
    <row r="21" customFormat="false" ht="15" hidden="false" customHeight="false" outlineLevel="0" collapsed="false">
      <c r="A21" s="2" t="n">
        <v>20</v>
      </c>
      <c r="B21" s="2" t="s">
        <v>113</v>
      </c>
      <c r="C21" s="2" t="s">
        <v>105</v>
      </c>
      <c r="D21" s="4" t="n">
        <v>320</v>
      </c>
      <c r="E21" s="2" t="n">
        <v>6</v>
      </c>
      <c r="F21" s="5" t="n">
        <v>0.5</v>
      </c>
      <c r="G21" s="2" t="s">
        <v>84</v>
      </c>
      <c r="H21" s="2" t="n">
        <v>78</v>
      </c>
      <c r="I21" s="17" t="n">
        <f aca="false">IFERROR(VLOOKUP(G21,Assumptions!$A$5:$B$10,2,FALSE()),Assumptions!$B$11)</f>
        <v>1</v>
      </c>
      <c r="J21" s="18" t="n">
        <f aca="false">D21*(1-E21/100)*I21*H21/100</f>
        <v>234.624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s">
        <v>103</v>
      </c>
      <c r="D22" s="4" t="n">
        <v>390</v>
      </c>
      <c r="E22" s="2" t="n">
        <v>4</v>
      </c>
      <c r="F22" s="5" t="n">
        <v>0.44</v>
      </c>
      <c r="G22" s="2" t="s">
        <v>85</v>
      </c>
      <c r="H22" s="2" t="n">
        <v>69</v>
      </c>
      <c r="I22" s="17" t="n">
        <f aca="false">IFERROR(VLOOKUP(G22,Assumptions!$A$5:$B$10,2,FALSE()),Assumptions!$B$11)</f>
        <v>0.9</v>
      </c>
      <c r="J22" s="18" t="n">
        <f aca="false">D22*(1-E22/100)*I22*H22/100</f>
        <v>232.5024</v>
      </c>
    </row>
    <row r="23" customFormat="false" ht="15" hidden="false" customHeight="false" outlineLevel="0" collapsed="false">
      <c r="A23" s="2" t="n">
        <v>22</v>
      </c>
      <c r="B23" s="2" t="s">
        <v>23</v>
      </c>
      <c r="C23" s="2" t="s">
        <v>103</v>
      </c>
      <c r="D23" s="4" t="n">
        <v>390</v>
      </c>
      <c r="E23" s="2" t="n">
        <v>17</v>
      </c>
      <c r="F23" s="5" t="n">
        <v>0.54</v>
      </c>
      <c r="G23" s="2" t="s">
        <v>84</v>
      </c>
      <c r="H23" s="2" t="n">
        <v>69</v>
      </c>
      <c r="I23" s="17" t="n">
        <f aca="false">IFERROR(VLOOKUP(G23,Assumptions!$A$5:$B$10,2,FALSE()),Assumptions!$B$11)</f>
        <v>1</v>
      </c>
      <c r="J23" s="18" t="n">
        <f aca="false">D23*(1-E23/100)*I23*H23/100</f>
        <v>223.353</v>
      </c>
    </row>
    <row r="24" customFormat="false" ht="15" hidden="false" customHeight="false" outlineLevel="0" collapsed="false">
      <c r="A24" s="2" t="n">
        <v>23</v>
      </c>
      <c r="B24" s="2" t="s">
        <v>114</v>
      </c>
      <c r="C24" s="2" t="s">
        <v>103</v>
      </c>
      <c r="D24" s="4" t="n">
        <v>320</v>
      </c>
      <c r="E24" s="2" t="n">
        <v>10</v>
      </c>
      <c r="F24" s="5" t="n">
        <v>0.7</v>
      </c>
      <c r="G24" s="2" t="s">
        <v>84</v>
      </c>
      <c r="H24" s="2" t="n">
        <v>77</v>
      </c>
      <c r="I24" s="17" t="n">
        <f aca="false">IFERROR(VLOOKUP(G24,Assumptions!$A$5:$B$10,2,FALSE()),Assumptions!$B$11)</f>
        <v>1</v>
      </c>
      <c r="J24" s="18" t="n">
        <f aca="false">D24*(1-E24/100)*I24*H24/100</f>
        <v>221.76</v>
      </c>
    </row>
    <row r="25" customFormat="false" ht="15" hidden="false" customHeight="false" outlineLevel="0" collapsed="false">
      <c r="A25" s="2" t="n">
        <v>24</v>
      </c>
      <c r="B25" s="2" t="s">
        <v>115</v>
      </c>
      <c r="C25" s="2" t="s">
        <v>105</v>
      </c>
      <c r="D25" s="4" t="n">
        <v>480</v>
      </c>
      <c r="E25" s="2" t="n">
        <v>30</v>
      </c>
      <c r="F25" s="5" t="n">
        <v>0.85</v>
      </c>
      <c r="G25" s="2" t="s">
        <v>85</v>
      </c>
      <c r="H25" s="2" t="n">
        <v>73</v>
      </c>
      <c r="I25" s="17" t="n">
        <f aca="false">IFERROR(VLOOKUP(G25,Assumptions!$A$5:$B$10,2,FALSE()),Assumptions!$B$11)</f>
        <v>0.9</v>
      </c>
      <c r="J25" s="18" t="n">
        <f aca="false">D25*(1-E25/100)*I25*H25/100</f>
        <v>220.752</v>
      </c>
    </row>
    <row r="26" customFormat="false" ht="15" hidden="false" customHeight="false" outlineLevel="0" collapsed="false">
      <c r="A26" s="2" t="n">
        <v>25</v>
      </c>
      <c r="B26" s="2" t="s">
        <v>116</v>
      </c>
      <c r="C26" s="2" t="s">
        <v>103</v>
      </c>
      <c r="D26" s="4" t="n">
        <v>480</v>
      </c>
      <c r="E26" s="2" t="n">
        <v>24</v>
      </c>
      <c r="F26" s="5" t="n">
        <v>0.36</v>
      </c>
      <c r="G26" s="2" t="s">
        <v>85</v>
      </c>
      <c r="H26" s="2" t="n">
        <v>67</v>
      </c>
      <c r="I26" s="17" t="n">
        <f aca="false">IFERROR(VLOOKUP(G26,Assumptions!$A$5:$B$10,2,FALSE()),Assumptions!$B$11)</f>
        <v>0.9</v>
      </c>
      <c r="J26" s="18" t="n">
        <f aca="false">D26*(1-E26/100)*I26*H26/100</f>
        <v>219.9744</v>
      </c>
    </row>
    <row r="27" customFormat="false" ht="15" hidden="false" customHeight="false" outlineLevel="0" collapsed="false">
      <c r="A27" s="2" t="n">
        <v>26</v>
      </c>
      <c r="B27" s="2" t="s">
        <v>117</v>
      </c>
      <c r="C27" s="2" t="s">
        <v>103</v>
      </c>
      <c r="D27" s="4" t="n">
        <v>390</v>
      </c>
      <c r="E27" s="2" t="n">
        <v>11</v>
      </c>
      <c r="F27" s="5" t="n">
        <v>0.44</v>
      </c>
      <c r="G27" s="2" t="s">
        <v>85</v>
      </c>
      <c r="H27" s="2" t="n">
        <v>68</v>
      </c>
      <c r="I27" s="17" t="n">
        <f aca="false">IFERROR(VLOOKUP(G27,Assumptions!$A$5:$B$10,2,FALSE()),Assumptions!$B$11)</f>
        <v>0.9</v>
      </c>
      <c r="J27" s="18" t="n">
        <f aca="false">D27*(1-E27/100)*I27*H27/100</f>
        <v>212.4252</v>
      </c>
    </row>
    <row r="28" customFormat="false" ht="15" hidden="false" customHeight="false" outlineLevel="0" collapsed="false">
      <c r="A28" s="2" t="n">
        <v>27</v>
      </c>
      <c r="B28" s="2" t="s">
        <v>118</v>
      </c>
      <c r="C28" s="2" t="s">
        <v>105</v>
      </c>
      <c r="D28" s="4" t="n">
        <v>390</v>
      </c>
      <c r="E28" s="2" t="n">
        <v>6</v>
      </c>
      <c r="F28" s="5" t="n">
        <v>0.44</v>
      </c>
      <c r="G28" s="2" t="s">
        <v>85</v>
      </c>
      <c r="H28" s="2" t="n">
        <v>60</v>
      </c>
      <c r="I28" s="17" t="n">
        <f aca="false">IFERROR(VLOOKUP(G28,Assumptions!$A$5:$B$10,2,FALSE()),Assumptions!$B$11)</f>
        <v>0.9</v>
      </c>
      <c r="J28" s="18" t="n">
        <f aca="false">D28*(1-E28/100)*I28*H28/100</f>
        <v>197.964</v>
      </c>
    </row>
    <row r="29" customFormat="false" ht="15" hidden="false" customHeight="false" outlineLevel="0" collapsed="false">
      <c r="A29" s="2" t="n">
        <v>28</v>
      </c>
      <c r="B29" s="2" t="s">
        <v>119</v>
      </c>
      <c r="C29" s="2" t="s">
        <v>105</v>
      </c>
      <c r="D29" s="4" t="n">
        <v>260</v>
      </c>
      <c r="E29" s="2" t="n">
        <v>6</v>
      </c>
      <c r="F29" s="5" t="n">
        <v>0.77</v>
      </c>
      <c r="G29" s="2" t="s">
        <v>84</v>
      </c>
      <c r="H29" s="2" t="n">
        <v>80</v>
      </c>
      <c r="I29" s="17" t="n">
        <f aca="false">IFERROR(VLOOKUP(G29,Assumptions!$A$5:$B$10,2,FALSE()),Assumptions!$B$11)</f>
        <v>1</v>
      </c>
      <c r="J29" s="18" t="n">
        <f aca="false">D29*(1-E29/100)*I29*H29/100</f>
        <v>195.52</v>
      </c>
    </row>
    <row r="30" customFormat="false" ht="15" hidden="false" customHeight="false" outlineLevel="0" collapsed="false">
      <c r="A30" s="2" t="n">
        <v>29</v>
      </c>
      <c r="B30" s="2" t="s">
        <v>120</v>
      </c>
      <c r="C30" s="2" t="s">
        <v>103</v>
      </c>
      <c r="D30" s="4" t="n">
        <v>260</v>
      </c>
      <c r="E30" s="2" t="n">
        <v>7</v>
      </c>
      <c r="F30" s="5" t="n">
        <v>0.34</v>
      </c>
      <c r="G30" s="2" t="s">
        <v>85</v>
      </c>
      <c r="H30" s="2" t="n">
        <v>86</v>
      </c>
      <c r="I30" s="17" t="n">
        <f aca="false">IFERROR(VLOOKUP(G30,Assumptions!$A$5:$B$10,2,FALSE()),Assumptions!$B$11)</f>
        <v>0.9</v>
      </c>
      <c r="J30" s="18" t="n">
        <f aca="false">D30*(1-E30/100)*I30*H30/100</f>
        <v>187.1532</v>
      </c>
    </row>
    <row r="31" customFormat="false" ht="15" hidden="false" customHeight="false" outlineLevel="0" collapsed="false">
      <c r="A31" s="2" t="n">
        <v>30</v>
      </c>
      <c r="B31" s="2" t="s">
        <v>121</v>
      </c>
      <c r="C31" s="2" t="s">
        <v>103</v>
      </c>
      <c r="D31" s="4" t="n">
        <v>260</v>
      </c>
      <c r="E31" s="2" t="n">
        <v>7</v>
      </c>
      <c r="F31" s="5" t="n">
        <v>0.66</v>
      </c>
      <c r="G31" s="2" t="s">
        <v>84</v>
      </c>
      <c r="H31" s="2" t="n">
        <v>76</v>
      </c>
      <c r="I31" s="17" t="n">
        <f aca="false">IFERROR(VLOOKUP(G31,Assumptions!$A$5:$B$10,2,FALSE()),Assumptions!$B$11)</f>
        <v>1</v>
      </c>
      <c r="J31" s="18" t="n">
        <f aca="false">D31*(1-E31/100)*I31*H31/100</f>
        <v>183.768</v>
      </c>
    </row>
    <row r="32" customFormat="false" ht="15" hidden="false" customHeight="false" outlineLevel="0" collapsed="false">
      <c r="A32" s="2" t="n">
        <v>31</v>
      </c>
      <c r="B32" s="2" t="s">
        <v>122</v>
      </c>
      <c r="C32" s="2" t="s">
        <v>103</v>
      </c>
      <c r="D32" s="4" t="n">
        <v>320</v>
      </c>
      <c r="E32" s="2" t="n">
        <v>8</v>
      </c>
      <c r="F32" s="5" t="n">
        <v>0.5</v>
      </c>
      <c r="G32" s="2" t="s">
        <v>85</v>
      </c>
      <c r="H32" s="2" t="n">
        <v>69</v>
      </c>
      <c r="I32" s="17" t="n">
        <f aca="false">IFERROR(VLOOKUP(G32,Assumptions!$A$5:$B$10,2,FALSE()),Assumptions!$B$11)</f>
        <v>0.9</v>
      </c>
      <c r="J32" s="18" t="n">
        <f aca="false">D32*(1-E32/100)*I32*H32/100</f>
        <v>182.8224</v>
      </c>
    </row>
    <row r="33" customFormat="false" ht="15" hidden="false" customHeight="false" outlineLevel="0" collapsed="false">
      <c r="A33" s="2" t="n">
        <v>32</v>
      </c>
      <c r="B33" s="2" t="s">
        <v>123</v>
      </c>
      <c r="C33" s="2" t="s">
        <v>103</v>
      </c>
      <c r="D33" s="4" t="n">
        <v>320</v>
      </c>
      <c r="E33" s="2" t="n">
        <v>9</v>
      </c>
      <c r="F33" s="5" t="n">
        <v>0.42</v>
      </c>
      <c r="G33" s="2" t="s">
        <v>85</v>
      </c>
      <c r="H33" s="2" t="n">
        <v>69</v>
      </c>
      <c r="I33" s="17" t="n">
        <f aca="false">IFERROR(VLOOKUP(G33,Assumptions!$A$5:$B$10,2,FALSE()),Assumptions!$B$11)</f>
        <v>0.9</v>
      </c>
      <c r="J33" s="18" t="n">
        <f aca="false">D33*(1-E33/100)*I33*H33/100</f>
        <v>180.8352</v>
      </c>
    </row>
    <row r="34" customFormat="false" ht="15" hidden="false" customHeight="false" outlineLevel="0" collapsed="false">
      <c r="A34" s="2" t="n">
        <v>33</v>
      </c>
      <c r="B34" s="2" t="s">
        <v>124</v>
      </c>
      <c r="C34" s="2" t="s">
        <v>105</v>
      </c>
      <c r="D34" s="4" t="n">
        <v>210</v>
      </c>
      <c r="E34" s="2" t="n">
        <v>15</v>
      </c>
      <c r="F34" s="5" t="n">
        <v>0.67</v>
      </c>
      <c r="G34" s="2" t="s">
        <v>84</v>
      </c>
      <c r="H34" s="2" t="n">
        <v>100</v>
      </c>
      <c r="I34" s="17" t="n">
        <f aca="false">IFERROR(VLOOKUP(G34,Assumptions!$A$5:$B$10,2,FALSE()),Assumptions!$B$11)</f>
        <v>1</v>
      </c>
      <c r="J34" s="18" t="n">
        <f aca="false">D34*(1-E34/100)*I34*H34/100</f>
        <v>178.5</v>
      </c>
    </row>
    <row r="35" customFormat="false" ht="15" hidden="false" customHeight="false" outlineLevel="0" collapsed="false">
      <c r="A35" s="2" t="n">
        <v>34</v>
      </c>
      <c r="B35" s="2" t="s">
        <v>125</v>
      </c>
      <c r="C35" s="2" t="s">
        <v>103</v>
      </c>
      <c r="D35" s="4" t="n">
        <v>320</v>
      </c>
      <c r="E35" s="2" t="n">
        <v>10</v>
      </c>
      <c r="F35" s="5" t="n">
        <v>0.43</v>
      </c>
      <c r="G35" s="2" t="s">
        <v>85</v>
      </c>
      <c r="H35" s="2" t="n">
        <v>67</v>
      </c>
      <c r="I35" s="17" t="n">
        <f aca="false">IFERROR(VLOOKUP(G35,Assumptions!$A$5:$B$10,2,FALSE()),Assumptions!$B$11)</f>
        <v>0.9</v>
      </c>
      <c r="J35" s="18" t="n">
        <f aca="false">D35*(1-E35/100)*I35*H35/100</f>
        <v>173.664</v>
      </c>
    </row>
    <row r="36" customFormat="false" ht="15" hidden="false" customHeight="false" outlineLevel="0" collapsed="false">
      <c r="A36" s="2" t="n">
        <v>35</v>
      </c>
      <c r="B36" s="2" t="s">
        <v>126</v>
      </c>
      <c r="C36" s="2" t="s">
        <v>103</v>
      </c>
      <c r="D36" s="4" t="n">
        <v>260</v>
      </c>
      <c r="E36" s="2" t="n">
        <v>12</v>
      </c>
      <c r="F36" s="5" t="n">
        <v>0.57</v>
      </c>
      <c r="G36" s="2" t="s">
        <v>85</v>
      </c>
      <c r="H36" s="2" t="n">
        <v>76</v>
      </c>
      <c r="I36" s="17" t="n">
        <f aca="false">IFERROR(VLOOKUP(G36,Assumptions!$A$5:$B$10,2,FALSE()),Assumptions!$B$11)</f>
        <v>0.9</v>
      </c>
      <c r="J36" s="18" t="n">
        <f aca="false">D36*(1-E36/100)*I36*H36/100</f>
        <v>156.4992</v>
      </c>
    </row>
    <row r="37" customFormat="false" ht="15" hidden="false" customHeight="false" outlineLevel="0" collapsed="false">
      <c r="A37" s="2" t="n">
        <v>36</v>
      </c>
      <c r="B37" s="2" t="s">
        <v>127</v>
      </c>
      <c r="C37" s="2" t="s">
        <v>105</v>
      </c>
      <c r="D37" s="4" t="n">
        <v>210</v>
      </c>
      <c r="E37" s="2" t="n">
        <v>5</v>
      </c>
      <c r="F37" s="5" t="n">
        <v>0.85</v>
      </c>
      <c r="G37" s="2" t="s">
        <v>84</v>
      </c>
      <c r="H37" s="2" t="n">
        <v>78</v>
      </c>
      <c r="I37" s="17" t="n">
        <f aca="false">IFERROR(VLOOKUP(G37,Assumptions!$A$5:$B$10,2,FALSE()),Assumptions!$B$11)</f>
        <v>1</v>
      </c>
      <c r="J37" s="18" t="n">
        <f aca="false">D37*(1-E37/100)*I37*H37/100</f>
        <v>155.61</v>
      </c>
    </row>
    <row r="38" customFormat="false" ht="15" hidden="false" customHeight="false" outlineLevel="0" collapsed="false">
      <c r="A38" s="2" t="n">
        <v>37</v>
      </c>
      <c r="B38" s="2" t="s">
        <v>128</v>
      </c>
      <c r="C38" s="2" t="s">
        <v>103</v>
      </c>
      <c r="D38" s="4" t="n">
        <v>390</v>
      </c>
      <c r="E38" s="2" t="n">
        <v>20</v>
      </c>
      <c r="F38" s="5" t="n">
        <v>0.45</v>
      </c>
      <c r="G38" s="2" t="s">
        <v>87</v>
      </c>
      <c r="H38" s="2" t="n">
        <v>71</v>
      </c>
      <c r="I38" s="17" t="n">
        <f aca="false">IFERROR(VLOOKUP(G38,Assumptions!$A$5:$B$10,2,FALSE()),Assumptions!$B$11)</f>
        <v>0.7</v>
      </c>
      <c r="J38" s="18" t="n">
        <f aca="false">D38*(1-E38/100)*I38*H38/100</f>
        <v>155.064</v>
      </c>
    </row>
    <row r="39" customFormat="false" ht="15" hidden="false" customHeight="false" outlineLevel="0" collapsed="false">
      <c r="A39" s="2" t="n">
        <v>38</v>
      </c>
      <c r="B39" s="2" t="s">
        <v>129</v>
      </c>
      <c r="C39" s="2" t="s">
        <v>103</v>
      </c>
      <c r="D39" s="4" t="n">
        <v>260</v>
      </c>
      <c r="E39" s="2" t="n">
        <v>11</v>
      </c>
      <c r="F39" s="5" t="n">
        <v>0.39</v>
      </c>
      <c r="G39" s="2" t="s">
        <v>85</v>
      </c>
      <c r="H39" s="2" t="n">
        <v>72</v>
      </c>
      <c r="I39" s="17" t="n">
        <f aca="false">IFERROR(VLOOKUP(G39,Assumptions!$A$5:$B$10,2,FALSE()),Assumptions!$B$11)</f>
        <v>0.9</v>
      </c>
      <c r="J39" s="18" t="n">
        <f aca="false">D39*(1-E39/100)*I39*H39/100</f>
        <v>149.9472</v>
      </c>
    </row>
    <row r="40" customFormat="false" ht="15" hidden="false" customHeight="false" outlineLevel="0" collapsed="false">
      <c r="A40" s="2" t="n">
        <v>39</v>
      </c>
      <c r="B40" s="2" t="s">
        <v>130</v>
      </c>
      <c r="C40" s="2" t="s">
        <v>103</v>
      </c>
      <c r="D40" s="4" t="n">
        <v>260</v>
      </c>
      <c r="E40" s="2" t="n">
        <v>5</v>
      </c>
      <c r="F40" s="5" t="n">
        <v>0.43</v>
      </c>
      <c r="G40" s="2" t="s">
        <v>85</v>
      </c>
      <c r="H40" s="2" t="n">
        <v>67</v>
      </c>
      <c r="I40" s="17" t="n">
        <f aca="false">IFERROR(VLOOKUP(G40,Assumptions!$A$5:$B$10,2,FALSE()),Assumptions!$B$11)</f>
        <v>0.9</v>
      </c>
      <c r="J40" s="18" t="n">
        <f aca="false">D40*(1-E40/100)*I40*H40/100</f>
        <v>148.941</v>
      </c>
    </row>
    <row r="41" customFormat="false" ht="15" hidden="false" customHeight="false" outlineLevel="0" collapsed="false">
      <c r="A41" s="2" t="n">
        <v>40</v>
      </c>
      <c r="B41" s="2" t="s">
        <v>131</v>
      </c>
      <c r="C41" s="2" t="s">
        <v>103</v>
      </c>
      <c r="D41" s="4" t="n">
        <v>320</v>
      </c>
      <c r="E41" s="2" t="n">
        <v>23</v>
      </c>
      <c r="F41" s="5" t="n">
        <v>0.45</v>
      </c>
      <c r="G41" s="2" t="s">
        <v>85</v>
      </c>
      <c r="H41" s="2" t="n">
        <v>67</v>
      </c>
      <c r="I41" s="17" t="n">
        <f aca="false">IFERROR(VLOOKUP(G41,Assumptions!$A$5:$B$10,2,FALSE()),Assumptions!$B$11)</f>
        <v>0.9</v>
      </c>
      <c r="J41" s="18" t="n">
        <f aca="false">D41*(1-E41/100)*I41*H41/100</f>
        <v>148.5792</v>
      </c>
    </row>
    <row r="42" customFormat="false" ht="15" hidden="false" customHeight="false" outlineLevel="0" collapsed="false">
      <c r="A42" s="2" t="n">
        <v>41</v>
      </c>
      <c r="B42" s="2" t="s">
        <v>132</v>
      </c>
      <c r="C42" s="2" t="s">
        <v>105</v>
      </c>
      <c r="D42" s="4" t="n">
        <v>210</v>
      </c>
      <c r="E42" s="2" t="n">
        <v>6</v>
      </c>
      <c r="F42" s="5" t="n">
        <v>0.5</v>
      </c>
      <c r="G42" s="2" t="s">
        <v>84</v>
      </c>
      <c r="H42" s="2" t="n">
        <v>75</v>
      </c>
      <c r="I42" s="17" t="n">
        <f aca="false">IFERROR(VLOOKUP(G42,Assumptions!$A$5:$B$10,2,FALSE()),Assumptions!$B$11)</f>
        <v>1</v>
      </c>
      <c r="J42" s="18" t="n">
        <f aca="false">D42*(1-E42/100)*I42*H42/100</f>
        <v>148.05</v>
      </c>
    </row>
    <row r="43" customFormat="false" ht="15" hidden="false" customHeight="false" outlineLevel="0" collapsed="false">
      <c r="A43" s="2" t="n">
        <v>42</v>
      </c>
      <c r="B43" s="2" t="s">
        <v>133</v>
      </c>
      <c r="C43" s="2" t="s">
        <v>103</v>
      </c>
      <c r="D43" s="4" t="n">
        <v>390</v>
      </c>
      <c r="E43" s="2" t="n">
        <v>39</v>
      </c>
      <c r="F43" s="5" t="n">
        <v>0.44</v>
      </c>
      <c r="G43" s="2" t="s">
        <v>85</v>
      </c>
      <c r="H43" s="2" t="n">
        <v>67</v>
      </c>
      <c r="I43" s="17" t="n">
        <f aca="false">IFERROR(VLOOKUP(G43,Assumptions!$A$5:$B$10,2,FALSE()),Assumptions!$B$11)</f>
        <v>0.9</v>
      </c>
      <c r="J43" s="18" t="n">
        <f aca="false">D43*(1-E43/100)*I43*H43/100</f>
        <v>143.4537</v>
      </c>
    </row>
    <row r="44" customFormat="false" ht="15" hidden="false" customHeight="false" outlineLevel="0" collapsed="false">
      <c r="A44" s="2" t="n">
        <v>43</v>
      </c>
      <c r="B44" s="2" t="s">
        <v>134</v>
      </c>
      <c r="C44" s="2" t="s">
        <v>105</v>
      </c>
      <c r="D44" s="4" t="n">
        <v>320</v>
      </c>
      <c r="E44" s="2" t="n">
        <v>17</v>
      </c>
      <c r="F44" s="5" t="n">
        <v>0.83</v>
      </c>
      <c r="G44" s="2" t="s">
        <v>85</v>
      </c>
      <c r="H44" s="2" t="n">
        <v>60</v>
      </c>
      <c r="I44" s="17" t="n">
        <f aca="false">IFERROR(VLOOKUP(G44,Assumptions!$A$5:$B$10,2,FALSE()),Assumptions!$B$11)</f>
        <v>0.9</v>
      </c>
      <c r="J44" s="18" t="n">
        <f aca="false">D44*(1-E44/100)*I44*H44/100</f>
        <v>143.424</v>
      </c>
    </row>
    <row r="45" customFormat="false" ht="15" hidden="false" customHeight="false" outlineLevel="0" collapsed="false">
      <c r="A45" s="2" t="n">
        <v>44</v>
      </c>
      <c r="B45" s="2" t="s">
        <v>135</v>
      </c>
      <c r="C45" s="2" t="s">
        <v>105</v>
      </c>
      <c r="D45" s="4" t="n">
        <v>210</v>
      </c>
      <c r="E45" s="2" t="n">
        <v>5</v>
      </c>
      <c r="F45" s="5" t="n">
        <v>0.71</v>
      </c>
      <c r="G45" s="2" t="s">
        <v>84</v>
      </c>
      <c r="H45" s="2" t="n">
        <v>70</v>
      </c>
      <c r="I45" s="17" t="n">
        <f aca="false">IFERROR(VLOOKUP(G45,Assumptions!$A$5:$B$10,2,FALSE()),Assumptions!$B$11)</f>
        <v>1</v>
      </c>
      <c r="J45" s="18" t="n">
        <f aca="false">D45*(1-E45/100)*I45*H45/100</f>
        <v>139.65</v>
      </c>
    </row>
    <row r="46" customFormat="false" ht="15" hidden="false" customHeight="false" outlineLevel="0" collapsed="false">
      <c r="A46" s="2" t="n">
        <v>45</v>
      </c>
      <c r="B46" s="2" t="s">
        <v>136</v>
      </c>
      <c r="C46" s="2" t="s">
        <v>105</v>
      </c>
      <c r="D46" s="4" t="n">
        <v>320</v>
      </c>
      <c r="E46" s="2" t="n">
        <v>29</v>
      </c>
      <c r="F46" s="5" t="n">
        <v>0.82</v>
      </c>
      <c r="G46" s="2" t="s">
        <v>85</v>
      </c>
      <c r="H46" s="2" t="n">
        <v>68</v>
      </c>
      <c r="I46" s="17" t="n">
        <f aca="false">IFERROR(VLOOKUP(G46,Assumptions!$A$5:$B$10,2,FALSE()),Assumptions!$B$11)</f>
        <v>0.9</v>
      </c>
      <c r="J46" s="18" t="n">
        <f aca="false">D46*(1-E46/100)*I46*H46/100</f>
        <v>139.0464</v>
      </c>
    </row>
    <row r="47" customFormat="false" ht="15" hidden="false" customHeight="false" outlineLevel="0" collapsed="false">
      <c r="A47" s="2" t="n">
        <v>46</v>
      </c>
      <c r="B47" s="2" t="s">
        <v>137</v>
      </c>
      <c r="C47" s="2" t="s">
        <v>105</v>
      </c>
      <c r="D47" s="4" t="n">
        <v>210</v>
      </c>
      <c r="E47" s="2" t="n">
        <v>6</v>
      </c>
      <c r="F47" s="5" t="n">
        <v>0.71</v>
      </c>
      <c r="G47" s="2" t="s">
        <v>84</v>
      </c>
      <c r="H47" s="2" t="n">
        <v>70</v>
      </c>
      <c r="I47" s="17" t="n">
        <f aca="false">IFERROR(VLOOKUP(G47,Assumptions!$A$5:$B$10,2,FALSE()),Assumptions!$B$11)</f>
        <v>1</v>
      </c>
      <c r="J47" s="18" t="n">
        <f aca="false">D47*(1-E47/100)*I47*H47/100</f>
        <v>138.18</v>
      </c>
    </row>
    <row r="48" customFormat="false" ht="15" hidden="false" customHeight="false" outlineLevel="0" collapsed="false">
      <c r="A48" s="2" t="n">
        <v>47</v>
      </c>
      <c r="B48" s="2" t="s">
        <v>138</v>
      </c>
      <c r="C48" s="2" t="s">
        <v>105</v>
      </c>
      <c r="D48" s="4" t="n">
        <v>210</v>
      </c>
      <c r="E48" s="2" t="n">
        <v>6</v>
      </c>
      <c r="F48" s="5" t="n">
        <v>0.75</v>
      </c>
      <c r="G48" s="2" t="s">
        <v>84</v>
      </c>
      <c r="H48" s="2" t="n">
        <v>70</v>
      </c>
      <c r="I48" s="17" t="n">
        <f aca="false">IFERROR(VLOOKUP(G48,Assumptions!$A$5:$B$10,2,FALSE()),Assumptions!$B$11)</f>
        <v>1</v>
      </c>
      <c r="J48" s="18" t="n">
        <f aca="false">D48*(1-E48/100)*I48*H48/100</f>
        <v>138.18</v>
      </c>
    </row>
    <row r="49" customFormat="false" ht="15" hidden="false" customHeight="false" outlineLevel="0" collapsed="false">
      <c r="A49" s="2" t="n">
        <v>48</v>
      </c>
      <c r="B49" s="2" t="s">
        <v>139</v>
      </c>
      <c r="C49" s="2" t="s">
        <v>103</v>
      </c>
      <c r="D49" s="4" t="n">
        <v>320</v>
      </c>
      <c r="E49" s="2" t="n">
        <v>35</v>
      </c>
      <c r="F49" s="5" t="n">
        <v>0.45</v>
      </c>
      <c r="G49" s="2" t="s">
        <v>85</v>
      </c>
      <c r="H49" s="2" t="n">
        <v>72</v>
      </c>
      <c r="I49" s="17" t="n">
        <f aca="false">IFERROR(VLOOKUP(G49,Assumptions!$A$5:$B$10,2,FALSE()),Assumptions!$B$11)</f>
        <v>0.9</v>
      </c>
      <c r="J49" s="18" t="n">
        <f aca="false">D49*(1-E49/100)*I49*H49/100</f>
        <v>134.784</v>
      </c>
    </row>
    <row r="50" customFormat="false" ht="15" hidden="false" customHeight="false" outlineLevel="0" collapsed="false">
      <c r="A50" s="2" t="n">
        <v>49</v>
      </c>
      <c r="B50" s="2" t="s">
        <v>140</v>
      </c>
      <c r="C50" s="2" t="s">
        <v>105</v>
      </c>
      <c r="D50" s="4" t="n">
        <v>170</v>
      </c>
      <c r="E50" s="2" t="n">
        <v>2</v>
      </c>
      <c r="F50" s="5" t="n">
        <v>0.55</v>
      </c>
      <c r="G50" s="2" t="s">
        <v>84</v>
      </c>
      <c r="H50" s="2" t="n">
        <v>80</v>
      </c>
      <c r="I50" s="17" t="n">
        <f aca="false">IFERROR(VLOOKUP(G50,Assumptions!$A$5:$B$10,2,FALSE()),Assumptions!$B$11)</f>
        <v>1</v>
      </c>
      <c r="J50" s="18" t="n">
        <f aca="false">D50*(1-E50/100)*I50*H50/100</f>
        <v>133.28</v>
      </c>
    </row>
    <row r="51" customFormat="false" ht="15" hidden="false" customHeight="false" outlineLevel="0" collapsed="false">
      <c r="A51" s="2" t="n">
        <v>50</v>
      </c>
      <c r="B51" s="2" t="s">
        <v>141</v>
      </c>
      <c r="C51" s="2" t="s">
        <v>105</v>
      </c>
      <c r="D51" s="4" t="n">
        <v>170</v>
      </c>
      <c r="E51" s="2" t="n">
        <v>7</v>
      </c>
      <c r="F51" s="5" t="n">
        <v>0.56</v>
      </c>
      <c r="G51" s="2" t="s">
        <v>84</v>
      </c>
      <c r="H51" s="2" t="n">
        <v>84</v>
      </c>
      <c r="I51" s="17" t="n">
        <f aca="false">IFERROR(VLOOKUP(G51,Assumptions!$A$5:$B$10,2,FALSE()),Assumptions!$B$11)</f>
        <v>1</v>
      </c>
      <c r="J51" s="18" t="n">
        <f aca="false">D51*(1-E51/100)*I51*H51/100</f>
        <v>132.804</v>
      </c>
    </row>
    <row r="52" customFormat="false" ht="15" hidden="false" customHeight="false" outlineLevel="0" collapsed="false">
      <c r="A52" s="2" t="n">
        <v>51</v>
      </c>
      <c r="B52" s="2" t="s">
        <v>142</v>
      </c>
      <c r="C52" s="2" t="s">
        <v>105</v>
      </c>
      <c r="D52" s="4" t="n">
        <v>170</v>
      </c>
      <c r="E52" s="2" t="n">
        <v>7</v>
      </c>
      <c r="F52" s="5" t="n">
        <v>0.78</v>
      </c>
      <c r="G52" s="2" t="s">
        <v>84</v>
      </c>
      <c r="H52" s="2" t="n">
        <v>81</v>
      </c>
      <c r="I52" s="17" t="n">
        <f aca="false">IFERROR(VLOOKUP(G52,Assumptions!$A$5:$B$10,2,FALSE()),Assumptions!$B$11)</f>
        <v>1</v>
      </c>
      <c r="J52" s="18" t="n">
        <f aca="false">D52*(1-E52/100)*I52*H52/100</f>
        <v>128.061</v>
      </c>
    </row>
    <row r="53" customFormat="false" ht="15" hidden="false" customHeight="false" outlineLevel="0" collapsed="false">
      <c r="A53" s="2" t="n">
        <v>52</v>
      </c>
      <c r="B53" s="2" t="s">
        <v>143</v>
      </c>
      <c r="C53" s="2" t="s">
        <v>103</v>
      </c>
      <c r="D53" s="4" t="n">
        <v>210</v>
      </c>
      <c r="E53" s="2" t="n">
        <v>7</v>
      </c>
      <c r="F53" s="5" t="n">
        <v>0.33</v>
      </c>
      <c r="G53" s="2" t="s">
        <v>85</v>
      </c>
      <c r="H53" s="2" t="n">
        <v>72</v>
      </c>
      <c r="I53" s="17" t="n">
        <f aca="false">IFERROR(VLOOKUP(G53,Assumptions!$A$5:$B$10,2,FALSE()),Assumptions!$B$11)</f>
        <v>0.9</v>
      </c>
      <c r="J53" s="18" t="n">
        <f aca="false">D53*(1-E53/100)*I53*H53/100</f>
        <v>126.5544</v>
      </c>
    </row>
    <row r="54" customFormat="false" ht="15" hidden="false" customHeight="false" outlineLevel="0" collapsed="false">
      <c r="A54" s="2" t="n">
        <v>53</v>
      </c>
      <c r="B54" s="2" t="s">
        <v>144</v>
      </c>
      <c r="C54" s="2" t="s">
        <v>105</v>
      </c>
      <c r="D54" s="4" t="n">
        <v>210</v>
      </c>
      <c r="E54" s="2" t="n">
        <v>6</v>
      </c>
      <c r="F54" s="5" t="n">
        <v>0.57</v>
      </c>
      <c r="G54" s="2" t="s">
        <v>84</v>
      </c>
      <c r="H54" s="2" t="n">
        <v>61</v>
      </c>
      <c r="I54" s="17" t="n">
        <f aca="false">IFERROR(VLOOKUP(G54,Assumptions!$A$5:$B$10,2,FALSE()),Assumptions!$B$11)</f>
        <v>1</v>
      </c>
      <c r="J54" s="18" t="n">
        <f aca="false">D54*(1-E54/100)*I54*H54/100</f>
        <v>120.414</v>
      </c>
    </row>
    <row r="55" customFormat="false" ht="15" hidden="false" customHeight="false" outlineLevel="0" collapsed="false">
      <c r="A55" s="2" t="n">
        <v>54</v>
      </c>
      <c r="B55" s="2" t="s">
        <v>145</v>
      </c>
      <c r="C55" s="2" t="s">
        <v>105</v>
      </c>
      <c r="D55" s="4" t="n">
        <v>210</v>
      </c>
      <c r="E55" s="2" t="n">
        <v>6</v>
      </c>
      <c r="F55" s="5" t="n">
        <v>0.8</v>
      </c>
      <c r="G55" s="2" t="s">
        <v>85</v>
      </c>
      <c r="H55" s="2" t="n">
        <v>67</v>
      </c>
      <c r="I55" s="17" t="n">
        <f aca="false">IFERROR(VLOOKUP(G55,Assumptions!$A$5:$B$10,2,FALSE()),Assumptions!$B$11)</f>
        <v>0.9</v>
      </c>
      <c r="J55" s="18" t="n">
        <f aca="false">D55*(1-E55/100)*I55*H55/100</f>
        <v>119.0322</v>
      </c>
    </row>
    <row r="56" customFormat="false" ht="15" hidden="false" customHeight="false" outlineLevel="0" collapsed="false">
      <c r="A56" s="2" t="n">
        <v>55</v>
      </c>
      <c r="B56" s="2" t="s">
        <v>146</v>
      </c>
      <c r="C56" s="2" t="s">
        <v>105</v>
      </c>
      <c r="D56" s="4" t="n">
        <v>210</v>
      </c>
      <c r="E56" s="2" t="n">
        <v>18</v>
      </c>
      <c r="F56" s="5" t="n">
        <v>0.63</v>
      </c>
      <c r="G56" s="2" t="s">
        <v>84</v>
      </c>
      <c r="H56" s="2" t="n">
        <v>67</v>
      </c>
      <c r="I56" s="17" t="n">
        <f aca="false">IFERROR(VLOOKUP(G56,Assumptions!$A$5:$B$10,2,FALSE()),Assumptions!$B$11)</f>
        <v>1</v>
      </c>
      <c r="J56" s="18" t="n">
        <f aca="false">D56*(1-E56/100)*I56*H56/100</f>
        <v>115.374</v>
      </c>
    </row>
    <row r="57" customFormat="false" ht="15" hidden="false" customHeight="false" outlineLevel="0" collapsed="false">
      <c r="A57" s="2" t="n">
        <v>56</v>
      </c>
      <c r="B57" s="2" t="s">
        <v>147</v>
      </c>
      <c r="C57" s="2" t="s">
        <v>105</v>
      </c>
      <c r="D57" s="4" t="n">
        <v>170</v>
      </c>
      <c r="E57" s="2" t="n">
        <v>0</v>
      </c>
      <c r="F57" s="5" t="n">
        <v>0.57</v>
      </c>
      <c r="G57" s="2" t="s">
        <v>85</v>
      </c>
      <c r="H57" s="2" t="n">
        <v>74</v>
      </c>
      <c r="I57" s="17" t="n">
        <f aca="false">IFERROR(VLOOKUP(G57,Assumptions!$A$5:$B$10,2,FALSE()),Assumptions!$B$11)</f>
        <v>0.9</v>
      </c>
      <c r="J57" s="18" t="n">
        <f aca="false">D57*(1-E57/100)*I57*H57/100</f>
        <v>113.22</v>
      </c>
    </row>
    <row r="58" customFormat="false" ht="15" hidden="false" customHeight="false" outlineLevel="0" collapsed="false">
      <c r="A58" s="2" t="n">
        <v>57</v>
      </c>
      <c r="B58" s="2" t="s">
        <v>148</v>
      </c>
      <c r="C58" s="2" t="s">
        <v>103</v>
      </c>
      <c r="D58" s="4" t="n">
        <v>210</v>
      </c>
      <c r="E58" s="2" t="n">
        <v>17</v>
      </c>
      <c r="F58" s="5" t="n">
        <v>0.25</v>
      </c>
      <c r="G58" s="2" t="s">
        <v>85</v>
      </c>
      <c r="H58" s="2" t="n">
        <v>72</v>
      </c>
      <c r="I58" s="17" t="n">
        <f aca="false">IFERROR(VLOOKUP(G58,Assumptions!$A$5:$B$10,2,FALSE()),Assumptions!$B$11)</f>
        <v>0.9</v>
      </c>
      <c r="J58" s="18" t="n">
        <f aca="false">D58*(1-E58/100)*I58*H58/100</f>
        <v>112.9464</v>
      </c>
    </row>
    <row r="59" customFormat="false" ht="15" hidden="false" customHeight="false" outlineLevel="0" collapsed="false">
      <c r="A59" s="2" t="n">
        <v>58</v>
      </c>
      <c r="B59" s="2" t="s">
        <v>149</v>
      </c>
      <c r="C59" s="2" t="s">
        <v>103</v>
      </c>
      <c r="D59" s="4" t="n">
        <v>260</v>
      </c>
      <c r="E59" s="2" t="n">
        <v>25</v>
      </c>
      <c r="F59" s="5" t="n">
        <v>0.36</v>
      </c>
      <c r="G59" s="2" t="s">
        <v>85</v>
      </c>
      <c r="H59" s="2" t="n">
        <v>64</v>
      </c>
      <c r="I59" s="17" t="n">
        <f aca="false">IFERROR(VLOOKUP(G59,Assumptions!$A$5:$B$10,2,FALSE()),Assumptions!$B$11)</f>
        <v>0.9</v>
      </c>
      <c r="J59" s="18" t="n">
        <f aca="false">D59*(1-E59/100)*I59*H59/100</f>
        <v>112.32</v>
      </c>
    </row>
    <row r="60" customFormat="false" ht="15" hidden="false" customHeight="false" outlineLevel="0" collapsed="false">
      <c r="A60" s="2" t="n">
        <v>59</v>
      </c>
      <c r="B60" s="2" t="s">
        <v>150</v>
      </c>
      <c r="C60" s="2" t="s">
        <v>103</v>
      </c>
      <c r="D60" s="4" t="n">
        <v>210</v>
      </c>
      <c r="E60" s="2" t="n">
        <v>18</v>
      </c>
      <c r="F60" s="5" t="n">
        <v>0.44</v>
      </c>
      <c r="G60" s="2" t="s">
        <v>85</v>
      </c>
      <c r="H60" s="2" t="n">
        <v>70</v>
      </c>
      <c r="I60" s="17" t="n">
        <f aca="false">IFERROR(VLOOKUP(G60,Assumptions!$A$5:$B$10,2,FALSE()),Assumptions!$B$11)</f>
        <v>0.9</v>
      </c>
      <c r="J60" s="18" t="n">
        <f aca="false">D60*(1-E60/100)*I60*H60/100</f>
        <v>108.486</v>
      </c>
    </row>
    <row r="61" customFormat="false" ht="15" hidden="false" customHeight="false" outlineLevel="0" collapsed="false">
      <c r="A61" s="2" t="n">
        <v>60</v>
      </c>
      <c r="B61" s="2" t="s">
        <v>151</v>
      </c>
      <c r="C61" s="2" t="s">
        <v>105</v>
      </c>
      <c r="D61" s="4" t="n">
        <v>210</v>
      </c>
      <c r="E61" s="2" t="n">
        <v>9</v>
      </c>
      <c r="F61" s="5" t="n">
        <v>0.5</v>
      </c>
      <c r="G61" s="2" t="s">
        <v>85</v>
      </c>
      <c r="H61" s="2" t="n">
        <v>62</v>
      </c>
      <c r="I61" s="17" t="n">
        <f aca="false">IFERROR(VLOOKUP(G61,Assumptions!$A$5:$B$10,2,FALSE()),Assumptions!$B$11)</f>
        <v>0.9</v>
      </c>
      <c r="J61" s="18" t="n">
        <f aca="false">D61*(1-E61/100)*I61*H61/100</f>
        <v>106.6338</v>
      </c>
    </row>
    <row r="62" customFormat="false" ht="15" hidden="false" customHeight="false" outlineLevel="0" collapsed="false">
      <c r="A62" s="2" t="n">
        <v>61</v>
      </c>
      <c r="B62" s="2" t="s">
        <v>36</v>
      </c>
      <c r="C62" s="2" t="s">
        <v>103</v>
      </c>
      <c r="D62" s="4" t="n">
        <v>170</v>
      </c>
      <c r="E62" s="2" t="n">
        <v>3</v>
      </c>
      <c r="F62" s="5" t="n">
        <v>0.74</v>
      </c>
      <c r="G62" s="2" t="s">
        <v>84</v>
      </c>
      <c r="H62" s="2" t="n">
        <v>64</v>
      </c>
      <c r="I62" s="17" t="n">
        <f aca="false">IFERROR(VLOOKUP(G62,Assumptions!$A$5:$B$10,2,FALSE()),Assumptions!$B$11)</f>
        <v>1</v>
      </c>
      <c r="J62" s="18" t="n">
        <f aca="false">D62*(1-E62/100)*I62*H62/100</f>
        <v>105.536</v>
      </c>
    </row>
    <row r="63" customFormat="false" ht="15" hidden="false" customHeight="false" outlineLevel="0" collapsed="false">
      <c r="A63" s="2" t="n">
        <v>62</v>
      </c>
      <c r="B63" s="2" t="s">
        <v>152</v>
      </c>
      <c r="C63" s="2" t="s">
        <v>103</v>
      </c>
      <c r="D63" s="4" t="n">
        <v>140</v>
      </c>
      <c r="E63" s="2" t="n">
        <v>11</v>
      </c>
      <c r="F63" s="5" t="n">
        <v>0.34</v>
      </c>
      <c r="G63" s="2" t="s">
        <v>85</v>
      </c>
      <c r="H63" s="2" t="n">
        <v>87</v>
      </c>
      <c r="I63" s="17" t="n">
        <f aca="false">IFERROR(VLOOKUP(G63,Assumptions!$A$5:$B$10,2,FALSE()),Assumptions!$B$11)</f>
        <v>0.9</v>
      </c>
      <c r="J63" s="18" t="n">
        <f aca="false">D63*(1-E63/100)*I63*H63/100</f>
        <v>97.5618</v>
      </c>
    </row>
    <row r="64" customFormat="false" ht="15" hidden="false" customHeight="false" outlineLevel="0" collapsed="false">
      <c r="A64" s="2" t="n">
        <v>63</v>
      </c>
      <c r="B64" s="2" t="s">
        <v>153</v>
      </c>
      <c r="C64" s="2" t="s">
        <v>103</v>
      </c>
      <c r="D64" s="4" t="n">
        <v>170</v>
      </c>
      <c r="E64" s="2" t="n">
        <v>13</v>
      </c>
      <c r="F64" s="5" t="n">
        <v>0.39</v>
      </c>
      <c r="G64" s="2" t="s">
        <v>85</v>
      </c>
      <c r="H64" s="2" t="n">
        <v>73</v>
      </c>
      <c r="I64" s="17" t="n">
        <f aca="false">IFERROR(VLOOKUP(G64,Assumptions!$A$5:$B$10,2,FALSE()),Assumptions!$B$11)</f>
        <v>0.9</v>
      </c>
      <c r="J64" s="18" t="n">
        <f aca="false">D64*(1-E64/100)*I64*H64/100</f>
        <v>97.1703</v>
      </c>
    </row>
    <row r="65" customFormat="false" ht="15" hidden="false" customHeight="false" outlineLevel="0" collapsed="false">
      <c r="A65" s="2" t="n">
        <v>64</v>
      </c>
      <c r="B65" s="2" t="s">
        <v>154</v>
      </c>
      <c r="C65" s="2" t="s">
        <v>103</v>
      </c>
      <c r="D65" s="4" t="n">
        <v>140</v>
      </c>
      <c r="E65" s="2" t="n">
        <v>7</v>
      </c>
      <c r="F65" s="5" t="n">
        <v>0.25</v>
      </c>
      <c r="G65" s="2" t="s">
        <v>85</v>
      </c>
      <c r="H65" s="2" t="n">
        <v>82</v>
      </c>
      <c r="I65" s="17" t="n">
        <f aca="false">IFERROR(VLOOKUP(G65,Assumptions!$A$5:$B$10,2,FALSE()),Assumptions!$B$11)</f>
        <v>0.9</v>
      </c>
      <c r="J65" s="18" t="n">
        <f aca="false">D65*(1-E65/100)*I65*H65/100</f>
        <v>96.0876</v>
      </c>
    </row>
    <row r="66" customFormat="false" ht="15" hidden="false" customHeight="false" outlineLevel="0" collapsed="false">
      <c r="A66" s="2" t="n">
        <v>65</v>
      </c>
      <c r="B66" s="2" t="s">
        <v>155</v>
      </c>
      <c r="C66" s="2" t="s">
        <v>103</v>
      </c>
      <c r="D66" s="4" t="n">
        <v>210</v>
      </c>
      <c r="E66" s="2" t="n">
        <v>19</v>
      </c>
      <c r="F66" s="5" t="n">
        <v>0.49</v>
      </c>
      <c r="G66" s="2" t="s">
        <v>85</v>
      </c>
      <c r="H66" s="2" t="n">
        <v>61</v>
      </c>
      <c r="I66" s="17" t="n">
        <f aca="false">IFERROR(VLOOKUP(G66,Assumptions!$A$5:$B$10,2,FALSE()),Assumptions!$B$11)</f>
        <v>0.9</v>
      </c>
      <c r="J66" s="18" t="n">
        <f aca="false">D66*(1-E66/100)*I66*H66/100</f>
        <v>93.3849</v>
      </c>
    </row>
    <row r="67" customFormat="false" ht="15" hidden="false" customHeight="false" outlineLevel="0" collapsed="false">
      <c r="A67" s="2" t="n">
        <v>66</v>
      </c>
      <c r="B67" s="2" t="s">
        <v>156</v>
      </c>
      <c r="C67" s="2" t="s">
        <v>105</v>
      </c>
      <c r="D67" s="4" t="n">
        <v>170</v>
      </c>
      <c r="E67" s="2" t="n">
        <v>15</v>
      </c>
      <c r="F67" s="5" t="n">
        <v>0.33</v>
      </c>
      <c r="G67" s="2" t="s">
        <v>85</v>
      </c>
      <c r="H67" s="2" t="n">
        <v>68</v>
      </c>
      <c r="I67" s="17" t="n">
        <f aca="false">IFERROR(VLOOKUP(G67,Assumptions!$A$5:$B$10,2,FALSE()),Assumptions!$B$11)</f>
        <v>0.9</v>
      </c>
      <c r="J67" s="18" t="n">
        <f aca="false">D67*(1-E67/100)*I67*H67/100</f>
        <v>88.434</v>
      </c>
    </row>
    <row r="68" customFormat="false" ht="15" hidden="false" customHeight="false" outlineLevel="0" collapsed="false">
      <c r="A68" s="2" t="n">
        <v>67</v>
      </c>
      <c r="B68" s="2" t="s">
        <v>157</v>
      </c>
      <c r="C68" s="2" t="s">
        <v>105</v>
      </c>
      <c r="D68" s="4" t="n">
        <v>140</v>
      </c>
      <c r="E68" s="2" t="n">
        <v>0</v>
      </c>
      <c r="F68" s="5" t="n">
        <v>0.67</v>
      </c>
      <c r="G68" s="2" t="s">
        <v>85</v>
      </c>
      <c r="H68" s="2" t="n">
        <v>70</v>
      </c>
      <c r="I68" s="17" t="n">
        <f aca="false">IFERROR(VLOOKUP(G68,Assumptions!$A$5:$B$10,2,FALSE()),Assumptions!$B$11)</f>
        <v>0.9</v>
      </c>
      <c r="J68" s="18" t="n">
        <f aca="false">D68*(1-E68/100)*I68*H68/100</f>
        <v>88.2</v>
      </c>
    </row>
    <row r="69" customFormat="false" ht="15" hidden="false" customHeight="false" outlineLevel="0" collapsed="false">
      <c r="A69" s="2" t="n">
        <v>68</v>
      </c>
      <c r="B69" s="2" t="s">
        <v>158</v>
      </c>
      <c r="C69" s="2" t="s">
        <v>103</v>
      </c>
      <c r="D69" s="4" t="n">
        <v>170</v>
      </c>
      <c r="E69" s="2" t="n">
        <v>25</v>
      </c>
      <c r="F69" s="5" t="n">
        <v>0.62</v>
      </c>
      <c r="G69" s="2" t="s">
        <v>84</v>
      </c>
      <c r="H69" s="2" t="n">
        <v>69</v>
      </c>
      <c r="I69" s="17" t="n">
        <f aca="false">IFERROR(VLOOKUP(G69,Assumptions!$A$5:$B$10,2,FALSE()),Assumptions!$B$11)</f>
        <v>1</v>
      </c>
      <c r="J69" s="18" t="n">
        <f aca="false">D69*(1-E69/100)*I69*H69/100</f>
        <v>87.975</v>
      </c>
    </row>
    <row r="70" customFormat="false" ht="15" hidden="false" customHeight="false" outlineLevel="0" collapsed="false">
      <c r="A70" s="2" t="n">
        <v>69</v>
      </c>
      <c r="B70" s="2" t="s">
        <v>159</v>
      </c>
      <c r="C70" s="2" t="s">
        <v>105</v>
      </c>
      <c r="D70" s="4" t="n">
        <v>140</v>
      </c>
      <c r="E70" s="2" t="n">
        <v>5</v>
      </c>
      <c r="F70" s="5" t="n">
        <v>0.7</v>
      </c>
      <c r="G70" s="2" t="s">
        <v>84</v>
      </c>
      <c r="H70" s="2" t="n">
        <v>66</v>
      </c>
      <c r="I70" s="17" t="n">
        <f aca="false">IFERROR(VLOOKUP(G70,Assumptions!$A$5:$B$10,2,FALSE()),Assumptions!$B$11)</f>
        <v>1</v>
      </c>
      <c r="J70" s="18" t="n">
        <f aca="false">D70*(1-E70/100)*I70*H70/100</f>
        <v>87.78</v>
      </c>
    </row>
    <row r="71" customFormat="false" ht="15" hidden="false" customHeight="false" outlineLevel="0" collapsed="false">
      <c r="A71" s="2" t="n">
        <v>70</v>
      </c>
      <c r="B71" s="2" t="s">
        <v>160</v>
      </c>
      <c r="C71" s="2" t="s">
        <v>105</v>
      </c>
      <c r="D71" s="4" t="n">
        <v>90</v>
      </c>
      <c r="E71" s="2" t="n">
        <v>3</v>
      </c>
      <c r="F71" s="5" t="n">
        <v>0.69</v>
      </c>
      <c r="G71" s="2" t="s">
        <v>84</v>
      </c>
      <c r="H71" s="2" t="n">
        <v>100</v>
      </c>
      <c r="I71" s="17" t="n">
        <f aca="false">IFERROR(VLOOKUP(G71,Assumptions!$A$5:$B$10,2,FALSE()),Assumptions!$B$11)</f>
        <v>1</v>
      </c>
      <c r="J71" s="18" t="n">
        <f aca="false">D71*(1-E71/100)*I71*H71/100</f>
        <v>87.3</v>
      </c>
    </row>
    <row r="72" customFormat="false" ht="15" hidden="false" customHeight="false" outlineLevel="0" collapsed="false">
      <c r="A72" s="2" t="n">
        <v>71</v>
      </c>
      <c r="B72" s="2" t="s">
        <v>161</v>
      </c>
      <c r="C72" s="2" t="s">
        <v>105</v>
      </c>
      <c r="D72" s="4" t="n">
        <v>140</v>
      </c>
      <c r="E72" s="2" t="n">
        <v>9</v>
      </c>
      <c r="F72" s="5" t="n">
        <v>0.48</v>
      </c>
      <c r="G72" s="2" t="s">
        <v>85</v>
      </c>
      <c r="H72" s="2" t="n">
        <v>74</v>
      </c>
      <c r="I72" s="17" t="n">
        <f aca="false">IFERROR(VLOOKUP(G72,Assumptions!$A$5:$B$10,2,FALSE()),Assumptions!$B$11)</f>
        <v>0.9</v>
      </c>
      <c r="J72" s="18" t="n">
        <f aca="false">D72*(1-E72/100)*I72*H72/100</f>
        <v>84.8484</v>
      </c>
    </row>
    <row r="73" customFormat="false" ht="15" hidden="false" customHeight="false" outlineLevel="0" collapsed="false">
      <c r="A73" s="2" t="n">
        <v>72</v>
      </c>
      <c r="B73" s="2" t="s">
        <v>162</v>
      </c>
      <c r="C73" s="2" t="s">
        <v>103</v>
      </c>
      <c r="D73" s="4" t="n">
        <v>210</v>
      </c>
      <c r="E73" s="2" t="n">
        <v>34</v>
      </c>
      <c r="F73" s="5" t="n">
        <v>0.44</v>
      </c>
      <c r="G73" s="2" t="s">
        <v>85</v>
      </c>
      <c r="H73" s="2" t="n">
        <v>68</v>
      </c>
      <c r="I73" s="17" t="n">
        <f aca="false">IFERROR(VLOOKUP(G73,Assumptions!$A$5:$B$10,2,FALSE()),Assumptions!$B$11)</f>
        <v>0.9</v>
      </c>
      <c r="J73" s="18" t="n">
        <f aca="false">D73*(1-E73/100)*I73*H73/100</f>
        <v>84.8232</v>
      </c>
    </row>
    <row r="74" customFormat="false" ht="15" hidden="false" customHeight="false" outlineLevel="0" collapsed="false">
      <c r="A74" s="2" t="n">
        <v>73</v>
      </c>
      <c r="B74" s="2" t="s">
        <v>163</v>
      </c>
      <c r="C74" s="2" t="s">
        <v>105</v>
      </c>
      <c r="D74" s="4" t="n">
        <v>140</v>
      </c>
      <c r="E74" s="2" t="n">
        <v>6</v>
      </c>
      <c r="F74" s="5" t="n">
        <v>0.56</v>
      </c>
      <c r="G74" s="2" t="s">
        <v>84</v>
      </c>
      <c r="H74" s="2" t="n">
        <v>64</v>
      </c>
      <c r="I74" s="17" t="n">
        <f aca="false">IFERROR(VLOOKUP(G74,Assumptions!$A$5:$B$10,2,FALSE()),Assumptions!$B$11)</f>
        <v>1</v>
      </c>
      <c r="J74" s="18" t="n">
        <f aca="false">D74*(1-E74/100)*I74*H74/100</f>
        <v>84.224</v>
      </c>
    </row>
    <row r="75" customFormat="false" ht="15" hidden="false" customHeight="false" outlineLevel="0" collapsed="false">
      <c r="A75" s="2" t="n">
        <v>74</v>
      </c>
      <c r="B75" s="2" t="s">
        <v>164</v>
      </c>
      <c r="C75" s="2" t="s">
        <v>103</v>
      </c>
      <c r="D75" s="4" t="n">
        <v>90</v>
      </c>
      <c r="E75" s="2" t="n">
        <v>8</v>
      </c>
      <c r="F75" s="5" t="n">
        <v>0.3</v>
      </c>
      <c r="G75" s="2" t="s">
        <v>84</v>
      </c>
      <c r="H75" s="2" t="n">
        <v>100</v>
      </c>
      <c r="I75" s="17" t="n">
        <f aca="false">IFERROR(VLOOKUP(G75,Assumptions!$A$5:$B$10,2,FALSE()),Assumptions!$B$11)</f>
        <v>1</v>
      </c>
      <c r="J75" s="18" t="n">
        <f aca="false">D75*(1-E75/100)*I75*H75/100</f>
        <v>82.8</v>
      </c>
    </row>
    <row r="76" customFormat="false" ht="15" hidden="false" customHeight="false" outlineLevel="0" collapsed="false">
      <c r="A76" s="2" t="n">
        <v>75</v>
      </c>
      <c r="B76" s="2" t="s">
        <v>165</v>
      </c>
      <c r="C76" s="2" t="s">
        <v>103</v>
      </c>
      <c r="D76" s="4" t="n">
        <v>170</v>
      </c>
      <c r="E76" s="2" t="n">
        <v>10</v>
      </c>
      <c r="F76" s="5" t="n">
        <v>0.49</v>
      </c>
      <c r="G76" s="2" t="s">
        <v>85</v>
      </c>
      <c r="H76" s="2" t="n">
        <v>60</v>
      </c>
      <c r="I76" s="17" t="n">
        <f aca="false">IFERROR(VLOOKUP(G76,Assumptions!$A$5:$B$10,2,FALSE()),Assumptions!$B$11)</f>
        <v>0.9</v>
      </c>
      <c r="J76" s="18" t="n">
        <f aca="false">D76*(1-E76/100)*I76*H76/100</f>
        <v>82.62</v>
      </c>
    </row>
    <row r="77" customFormat="false" ht="15" hidden="false" customHeight="false" outlineLevel="0" collapsed="false">
      <c r="A77" s="2" t="n">
        <v>76</v>
      </c>
      <c r="B77" s="2" t="s">
        <v>166</v>
      </c>
      <c r="C77" s="2" t="s">
        <v>105</v>
      </c>
      <c r="D77" s="4" t="n">
        <v>90</v>
      </c>
      <c r="E77" s="2" t="n">
        <v>16</v>
      </c>
      <c r="F77" s="5" t="n">
        <v>0.72</v>
      </c>
      <c r="G77" s="2" t="s">
        <v>84</v>
      </c>
      <c r="H77" s="2" t="n">
        <v>100</v>
      </c>
      <c r="I77" s="17" t="n">
        <f aca="false">IFERROR(VLOOKUP(G77,Assumptions!$A$5:$B$10,2,FALSE()),Assumptions!$B$11)</f>
        <v>1</v>
      </c>
      <c r="J77" s="18" t="n">
        <f aca="false">D77*(1-E77/100)*I77*H77/100</f>
        <v>75.6</v>
      </c>
    </row>
    <row r="78" customFormat="false" ht="15" hidden="false" customHeight="false" outlineLevel="0" collapsed="false">
      <c r="A78" s="2" t="n">
        <v>77</v>
      </c>
      <c r="B78" s="2" t="s">
        <v>167</v>
      </c>
      <c r="C78" s="2" t="s">
        <v>105</v>
      </c>
      <c r="D78" s="4" t="n">
        <v>110</v>
      </c>
      <c r="E78" s="2" t="n">
        <v>5</v>
      </c>
      <c r="F78" s="5" t="n">
        <v>0.74</v>
      </c>
      <c r="G78" s="2" t="s">
        <v>84</v>
      </c>
      <c r="H78" s="2" t="n">
        <v>72</v>
      </c>
      <c r="I78" s="17" t="n">
        <f aca="false">IFERROR(VLOOKUP(G78,Assumptions!$A$5:$B$10,2,FALSE()),Assumptions!$B$11)</f>
        <v>1</v>
      </c>
      <c r="J78" s="18" t="n">
        <f aca="false">D78*(1-E78/100)*I78*H78/100</f>
        <v>75.24</v>
      </c>
    </row>
    <row r="79" customFormat="false" ht="15" hidden="false" customHeight="false" outlineLevel="0" collapsed="false">
      <c r="A79" s="2" t="n">
        <v>78</v>
      </c>
      <c r="B79" s="2" t="s">
        <v>168</v>
      </c>
      <c r="C79" s="2" t="s">
        <v>105</v>
      </c>
      <c r="D79" s="4" t="n">
        <v>140</v>
      </c>
      <c r="E79" s="2" t="n">
        <v>2</v>
      </c>
      <c r="F79" s="5" t="n">
        <v>0.57</v>
      </c>
      <c r="G79" s="2" t="s">
        <v>87</v>
      </c>
      <c r="H79" s="2" t="n">
        <v>76</v>
      </c>
      <c r="I79" s="17" t="n">
        <f aca="false">IFERROR(VLOOKUP(G79,Assumptions!$A$5:$B$10,2,FALSE()),Assumptions!$B$11)</f>
        <v>0.7</v>
      </c>
      <c r="J79" s="18" t="n">
        <f aca="false">D79*(1-E79/100)*I79*H79/100</f>
        <v>72.9904</v>
      </c>
    </row>
    <row r="80" customFormat="false" ht="15" hidden="false" customHeight="false" outlineLevel="0" collapsed="false">
      <c r="A80" s="2" t="n">
        <v>79</v>
      </c>
      <c r="B80" s="2" t="s">
        <v>169</v>
      </c>
      <c r="C80" s="2" t="s">
        <v>103</v>
      </c>
      <c r="D80" s="4" t="n">
        <v>140</v>
      </c>
      <c r="E80" s="2" t="n">
        <v>17</v>
      </c>
      <c r="F80" s="5" t="n">
        <v>0.3</v>
      </c>
      <c r="G80" s="2" t="s">
        <v>85</v>
      </c>
      <c r="H80" s="2" t="n">
        <v>69</v>
      </c>
      <c r="I80" s="17" t="n">
        <f aca="false">IFERROR(VLOOKUP(G80,Assumptions!$A$5:$B$10,2,FALSE()),Assumptions!$B$11)</f>
        <v>0.9</v>
      </c>
      <c r="J80" s="18" t="n">
        <f aca="false">D80*(1-E80/100)*I80*H80/100</f>
        <v>72.1602</v>
      </c>
    </row>
    <row r="81" customFormat="false" ht="15" hidden="false" customHeight="false" outlineLevel="0" collapsed="false">
      <c r="A81" s="2" t="n">
        <v>80</v>
      </c>
      <c r="B81" s="2" t="s">
        <v>170</v>
      </c>
      <c r="C81" s="2" t="s">
        <v>105</v>
      </c>
      <c r="D81" s="4" t="n">
        <v>110</v>
      </c>
      <c r="E81" s="2" t="n">
        <v>5</v>
      </c>
      <c r="F81" s="5" t="n">
        <v>0.48</v>
      </c>
      <c r="G81" s="2" t="s">
        <v>85</v>
      </c>
      <c r="H81" s="2" t="n">
        <v>76</v>
      </c>
      <c r="I81" s="17" t="n">
        <f aca="false">IFERROR(VLOOKUP(G81,Assumptions!$A$5:$B$10,2,FALSE()),Assumptions!$B$11)</f>
        <v>0.9</v>
      </c>
      <c r="J81" s="18" t="n">
        <f aca="false">D81*(1-E81/100)*I81*H81/100</f>
        <v>71.478</v>
      </c>
    </row>
    <row r="82" customFormat="false" ht="15" hidden="false" customHeight="false" outlineLevel="0" collapsed="false">
      <c r="A82" s="2" t="n">
        <v>81</v>
      </c>
      <c r="B82" s="2" t="s">
        <v>171</v>
      </c>
      <c r="C82" s="2" t="s">
        <v>105</v>
      </c>
      <c r="D82" s="4" t="n">
        <v>110</v>
      </c>
      <c r="E82" s="2" t="n">
        <v>18</v>
      </c>
      <c r="F82" s="5" t="n">
        <v>0.68</v>
      </c>
      <c r="G82" s="2" t="s">
        <v>84</v>
      </c>
      <c r="H82" s="2" t="n">
        <v>78</v>
      </c>
      <c r="I82" s="17" t="n">
        <f aca="false">IFERROR(VLOOKUP(G82,Assumptions!$A$5:$B$10,2,FALSE()),Assumptions!$B$11)</f>
        <v>1</v>
      </c>
      <c r="J82" s="18" t="n">
        <f aca="false">D82*(1-E82/100)*I82*H82/100</f>
        <v>70.356</v>
      </c>
    </row>
    <row r="83" customFormat="false" ht="15" hidden="false" customHeight="false" outlineLevel="0" collapsed="false">
      <c r="A83" s="2" t="n">
        <v>82</v>
      </c>
      <c r="B83" s="2" t="s">
        <v>172</v>
      </c>
      <c r="C83" s="2" t="s">
        <v>105</v>
      </c>
      <c r="D83" s="4" t="n">
        <v>110</v>
      </c>
      <c r="E83" s="2" t="n">
        <v>5</v>
      </c>
      <c r="F83" s="5" t="n">
        <v>0.68</v>
      </c>
      <c r="G83" s="2" t="s">
        <v>84</v>
      </c>
      <c r="H83" s="2" t="n">
        <v>67</v>
      </c>
      <c r="I83" s="17" t="n">
        <f aca="false">IFERROR(VLOOKUP(G83,Assumptions!$A$5:$B$10,2,FALSE()),Assumptions!$B$11)</f>
        <v>1</v>
      </c>
      <c r="J83" s="18" t="n">
        <f aca="false">D83*(1-E83/100)*I83*H83/100</f>
        <v>70.015</v>
      </c>
    </row>
    <row r="84" customFormat="false" ht="15" hidden="false" customHeight="false" outlineLevel="0" collapsed="false">
      <c r="A84" s="2" t="n">
        <v>83</v>
      </c>
      <c r="B84" s="2" t="s">
        <v>173</v>
      </c>
      <c r="C84" s="2" t="s">
        <v>103</v>
      </c>
      <c r="D84" s="4" t="n">
        <v>110</v>
      </c>
      <c r="E84" s="2" t="n">
        <v>7</v>
      </c>
      <c r="F84" s="5" t="n">
        <v>0.45</v>
      </c>
      <c r="G84" s="2" t="s">
        <v>85</v>
      </c>
      <c r="H84" s="2" t="n">
        <v>76</v>
      </c>
      <c r="I84" s="17" t="n">
        <f aca="false">IFERROR(VLOOKUP(G84,Assumptions!$A$5:$B$10,2,FALSE()),Assumptions!$B$11)</f>
        <v>0.9</v>
      </c>
      <c r="J84" s="18" t="n">
        <f aca="false">D84*(1-E84/100)*I84*H84/100</f>
        <v>69.9732</v>
      </c>
    </row>
    <row r="85" customFormat="false" ht="15" hidden="false" customHeight="false" outlineLevel="0" collapsed="false">
      <c r="A85" s="2" t="n">
        <v>84</v>
      </c>
      <c r="B85" s="2" t="s">
        <v>174</v>
      </c>
      <c r="C85" s="2" t="s">
        <v>105</v>
      </c>
      <c r="D85" s="4" t="n">
        <v>110</v>
      </c>
      <c r="E85" s="2" t="n">
        <v>6</v>
      </c>
      <c r="F85" s="5" t="n">
        <v>0.48</v>
      </c>
      <c r="G85" s="2" t="s">
        <v>85</v>
      </c>
      <c r="H85" s="2" t="n">
        <v>74</v>
      </c>
      <c r="I85" s="17" t="n">
        <f aca="false">IFERROR(VLOOKUP(G85,Assumptions!$A$5:$B$10,2,FALSE()),Assumptions!$B$11)</f>
        <v>0.9</v>
      </c>
      <c r="J85" s="18" t="n">
        <f aca="false">D85*(1-E85/100)*I85*H85/100</f>
        <v>68.8644</v>
      </c>
    </row>
    <row r="86" customFormat="false" ht="15" hidden="false" customHeight="false" outlineLevel="0" collapsed="false">
      <c r="A86" s="2" t="n">
        <v>85</v>
      </c>
      <c r="B86" s="2" t="s">
        <v>175</v>
      </c>
      <c r="C86" s="2" t="s">
        <v>105</v>
      </c>
      <c r="D86" s="4" t="n">
        <v>90</v>
      </c>
      <c r="E86" s="2" t="n">
        <v>7</v>
      </c>
      <c r="F86" s="5" t="n">
        <v>0.78</v>
      </c>
      <c r="G86" s="2" t="s">
        <v>84</v>
      </c>
      <c r="H86" s="2" t="n">
        <v>82</v>
      </c>
      <c r="I86" s="17" t="n">
        <f aca="false">IFERROR(VLOOKUP(G86,Assumptions!$A$5:$B$10,2,FALSE()),Assumptions!$B$11)</f>
        <v>1</v>
      </c>
      <c r="J86" s="18" t="n">
        <f aca="false">D86*(1-E86/100)*I86*H86/100</f>
        <v>68.634</v>
      </c>
    </row>
    <row r="87" customFormat="false" ht="15" hidden="false" customHeight="false" outlineLevel="0" collapsed="false">
      <c r="A87" s="2" t="n">
        <v>86</v>
      </c>
      <c r="B87" s="2" t="s">
        <v>176</v>
      </c>
      <c r="C87" s="2" t="s">
        <v>103</v>
      </c>
      <c r="D87" s="4" t="n">
        <v>140</v>
      </c>
      <c r="E87" s="2" t="n">
        <v>11</v>
      </c>
      <c r="F87" s="5" t="n">
        <v>0.6</v>
      </c>
      <c r="G87" s="2" t="s">
        <v>85</v>
      </c>
      <c r="H87" s="2" t="n">
        <v>59</v>
      </c>
      <c r="I87" s="17" t="n">
        <f aca="false">IFERROR(VLOOKUP(G87,Assumptions!$A$5:$B$10,2,FALSE()),Assumptions!$B$11)</f>
        <v>0.9</v>
      </c>
      <c r="J87" s="18" t="n">
        <f aca="false">D87*(1-E87/100)*I87*H87/100</f>
        <v>66.1626</v>
      </c>
    </row>
    <row r="88" customFormat="false" ht="15" hidden="false" customHeight="false" outlineLevel="0" collapsed="false">
      <c r="A88" s="2" t="n">
        <v>87</v>
      </c>
      <c r="B88" s="2" t="s">
        <v>177</v>
      </c>
      <c r="C88" s="2" t="s">
        <v>103</v>
      </c>
      <c r="D88" s="4" t="n">
        <v>110</v>
      </c>
      <c r="E88" s="2" t="n">
        <v>9</v>
      </c>
      <c r="F88" s="5" t="n">
        <v>0.39</v>
      </c>
      <c r="G88" s="2" t="s">
        <v>85</v>
      </c>
      <c r="H88" s="2" t="n">
        <v>73</v>
      </c>
      <c r="I88" s="17" t="n">
        <f aca="false">IFERROR(VLOOKUP(G88,Assumptions!$A$5:$B$10,2,FALSE()),Assumptions!$B$11)</f>
        <v>0.9</v>
      </c>
      <c r="J88" s="18" t="n">
        <f aca="false">D88*(1-E88/100)*I88*H88/100</f>
        <v>65.7657</v>
      </c>
    </row>
    <row r="89" customFormat="false" ht="15" hidden="false" customHeight="false" outlineLevel="0" collapsed="false">
      <c r="A89" s="2" t="n">
        <v>88</v>
      </c>
      <c r="B89" s="2" t="s">
        <v>178</v>
      </c>
      <c r="C89" s="2" t="s">
        <v>105</v>
      </c>
      <c r="D89" s="4" t="n">
        <v>90</v>
      </c>
      <c r="E89" s="2" t="n">
        <v>11</v>
      </c>
      <c r="F89" s="5" t="n">
        <v>0.67</v>
      </c>
      <c r="G89" s="2" t="s">
        <v>84</v>
      </c>
      <c r="H89" s="2" t="n">
        <v>82</v>
      </c>
      <c r="I89" s="17" t="n">
        <f aca="false">IFERROR(VLOOKUP(G89,Assumptions!$A$5:$B$10,2,FALSE()),Assumptions!$B$11)</f>
        <v>1</v>
      </c>
      <c r="J89" s="18" t="n">
        <f aca="false">D89*(1-E89/100)*I89*H89/100</f>
        <v>65.682</v>
      </c>
    </row>
    <row r="90" customFormat="false" ht="15" hidden="false" customHeight="false" outlineLevel="0" collapsed="false">
      <c r="A90" s="2" t="n">
        <v>89</v>
      </c>
      <c r="B90" s="2" t="s">
        <v>179</v>
      </c>
      <c r="C90" s="2" t="s">
        <v>105</v>
      </c>
      <c r="D90" s="4" t="n">
        <v>110</v>
      </c>
      <c r="E90" s="2" t="n">
        <v>30</v>
      </c>
      <c r="F90" s="5" t="n">
        <v>0.67</v>
      </c>
      <c r="G90" s="2" t="s">
        <v>84</v>
      </c>
      <c r="H90" s="2" t="n">
        <v>84</v>
      </c>
      <c r="I90" s="17" t="n">
        <f aca="false">IFERROR(VLOOKUP(G90,Assumptions!$A$5:$B$10,2,FALSE()),Assumptions!$B$11)</f>
        <v>1</v>
      </c>
      <c r="J90" s="18" t="n">
        <f aca="false">D90*(1-E90/100)*I90*H90/100</f>
        <v>64.68</v>
      </c>
    </row>
    <row r="91" customFormat="false" ht="15" hidden="false" customHeight="false" outlineLevel="0" collapsed="false">
      <c r="A91" s="2" t="n">
        <v>90</v>
      </c>
      <c r="B91" s="2" t="s">
        <v>180</v>
      </c>
      <c r="C91" s="2" t="s">
        <v>103</v>
      </c>
      <c r="D91" s="4" t="n">
        <v>110</v>
      </c>
      <c r="E91" s="2" t="n">
        <v>8</v>
      </c>
      <c r="F91" s="5" t="n">
        <v>0.71</v>
      </c>
      <c r="G91" s="2" t="s">
        <v>84</v>
      </c>
      <c r="H91" s="2" t="n">
        <v>63</v>
      </c>
      <c r="I91" s="17" t="n">
        <f aca="false">IFERROR(VLOOKUP(G91,Assumptions!$A$5:$B$10,2,FALSE()),Assumptions!$B$11)</f>
        <v>1</v>
      </c>
      <c r="J91" s="18" t="n">
        <f aca="false">D91*(1-E91/100)*I91*H91/100</f>
        <v>63.756</v>
      </c>
    </row>
    <row r="92" customFormat="false" ht="15" hidden="false" customHeight="false" outlineLevel="0" collapsed="false">
      <c r="A92" s="2" t="n">
        <v>91</v>
      </c>
      <c r="B92" s="2" t="s">
        <v>181</v>
      </c>
      <c r="C92" s="2" t="s">
        <v>105</v>
      </c>
      <c r="D92" s="4" t="n">
        <v>110</v>
      </c>
      <c r="E92" s="2" t="n">
        <v>4</v>
      </c>
      <c r="F92" s="5" t="n">
        <v>0.97</v>
      </c>
      <c r="G92" s="2" t="s">
        <v>84</v>
      </c>
      <c r="H92" s="2" t="n">
        <v>60</v>
      </c>
      <c r="I92" s="17" t="n">
        <f aca="false">IFERROR(VLOOKUP(G92,Assumptions!$A$5:$B$10,2,FALSE()),Assumptions!$B$11)</f>
        <v>1</v>
      </c>
      <c r="J92" s="18" t="n">
        <f aca="false">D92*(1-E92/100)*I92*H92/100</f>
        <v>63.36</v>
      </c>
    </row>
    <row r="93" customFormat="false" ht="15" hidden="false" customHeight="false" outlineLevel="0" collapsed="false">
      <c r="A93" s="2" t="n">
        <v>92</v>
      </c>
      <c r="B93" s="2" t="s">
        <v>182</v>
      </c>
      <c r="C93" s="2" t="s">
        <v>103</v>
      </c>
      <c r="D93" s="4" t="n">
        <v>110</v>
      </c>
      <c r="E93" s="2" t="n">
        <v>6</v>
      </c>
      <c r="F93" s="5" t="n">
        <v>0.36</v>
      </c>
      <c r="G93" s="2" t="s">
        <v>85</v>
      </c>
      <c r="H93" s="2" t="n">
        <v>68</v>
      </c>
      <c r="I93" s="17" t="n">
        <f aca="false">IFERROR(VLOOKUP(G93,Assumptions!$A$5:$B$10,2,FALSE()),Assumptions!$B$11)</f>
        <v>0.9</v>
      </c>
      <c r="J93" s="18" t="n">
        <f aca="false">D93*(1-E93/100)*I93*H93/100</f>
        <v>63.2808</v>
      </c>
    </row>
    <row r="94" customFormat="false" ht="15" hidden="false" customHeight="false" outlineLevel="0" collapsed="false">
      <c r="A94" s="2" t="n">
        <v>93</v>
      </c>
      <c r="B94" s="2" t="s">
        <v>183</v>
      </c>
      <c r="C94" s="2" t="s">
        <v>105</v>
      </c>
      <c r="D94" s="4" t="n">
        <v>170</v>
      </c>
      <c r="E94" s="2" t="n">
        <v>17</v>
      </c>
      <c r="F94" s="5" t="n">
        <v>0.46</v>
      </c>
      <c r="G94" s="2" t="s">
        <v>87</v>
      </c>
      <c r="H94" s="2" t="n">
        <v>64</v>
      </c>
      <c r="I94" s="17" t="n">
        <f aca="false">IFERROR(VLOOKUP(G94,Assumptions!$A$5:$B$10,2,FALSE()),Assumptions!$B$11)</f>
        <v>0.7</v>
      </c>
      <c r="J94" s="18" t="n">
        <f aca="false">D94*(1-E94/100)*I94*H94/100</f>
        <v>63.2128</v>
      </c>
    </row>
    <row r="95" customFormat="false" ht="15" hidden="false" customHeight="false" outlineLevel="0" collapsed="false">
      <c r="A95" s="2" t="n">
        <v>94</v>
      </c>
      <c r="B95" s="2" t="s">
        <v>66</v>
      </c>
      <c r="C95" s="2" t="s">
        <v>103</v>
      </c>
      <c r="D95" s="4" t="n">
        <v>110</v>
      </c>
      <c r="E95" s="2" t="n">
        <v>5</v>
      </c>
      <c r="F95" s="5" t="n">
        <v>0.88</v>
      </c>
      <c r="G95" s="2" t="s">
        <v>85</v>
      </c>
      <c r="H95" s="2" t="n">
        <v>67</v>
      </c>
      <c r="I95" s="17" t="n">
        <f aca="false">IFERROR(VLOOKUP(G95,Assumptions!$A$5:$B$10,2,FALSE()),Assumptions!$B$11)</f>
        <v>0.9</v>
      </c>
      <c r="J95" s="18" t="n">
        <f aca="false">D95*(1-E95/100)*I95*H95/100</f>
        <v>63.0135</v>
      </c>
    </row>
    <row r="96" customFormat="false" ht="15" hidden="false" customHeight="false" outlineLevel="0" collapsed="false">
      <c r="A96" s="2" t="n">
        <v>95</v>
      </c>
      <c r="B96" s="2" t="s">
        <v>184</v>
      </c>
      <c r="C96" s="2" t="s">
        <v>103</v>
      </c>
      <c r="D96" s="4" t="n">
        <v>110</v>
      </c>
      <c r="E96" s="2" t="n">
        <v>7</v>
      </c>
      <c r="F96" s="5" t="n">
        <v>0</v>
      </c>
      <c r="G96" s="2" t="s">
        <v>85</v>
      </c>
      <c r="H96" s="2" t="n">
        <v>68</v>
      </c>
      <c r="I96" s="17" t="n">
        <f aca="false">IFERROR(VLOOKUP(G96,Assumptions!$A$5:$B$10,2,FALSE()),Assumptions!$B$11)</f>
        <v>0.9</v>
      </c>
      <c r="J96" s="18" t="n">
        <f aca="false">D96*(1-E96/100)*I96*H96/100</f>
        <v>62.6076</v>
      </c>
    </row>
    <row r="97" customFormat="false" ht="15" hidden="false" customHeight="false" outlineLevel="0" collapsed="false">
      <c r="A97" s="2" t="n">
        <v>96</v>
      </c>
      <c r="B97" s="2" t="s">
        <v>185</v>
      </c>
      <c r="C97" s="2" t="s">
        <v>103</v>
      </c>
      <c r="D97" s="4" t="n">
        <v>140</v>
      </c>
      <c r="E97" s="2" t="n">
        <v>26</v>
      </c>
      <c r="F97" s="5" t="n">
        <v>0.36</v>
      </c>
      <c r="G97" s="2" t="s">
        <v>85</v>
      </c>
      <c r="H97" s="2" t="n">
        <v>67</v>
      </c>
      <c r="I97" s="17" t="n">
        <f aca="false">IFERROR(VLOOKUP(G97,Assumptions!$A$5:$B$10,2,FALSE()),Assumptions!$B$11)</f>
        <v>0.9</v>
      </c>
      <c r="J97" s="18" t="n">
        <f aca="false">D97*(1-E97/100)*I97*H97/100</f>
        <v>62.4708</v>
      </c>
    </row>
    <row r="98" customFormat="false" ht="15" hidden="false" customHeight="false" outlineLevel="0" collapsed="false">
      <c r="A98" s="2" t="n">
        <v>97</v>
      </c>
      <c r="B98" s="2" t="s">
        <v>186</v>
      </c>
      <c r="C98" s="2" t="s">
        <v>103</v>
      </c>
      <c r="D98" s="4" t="n">
        <v>140</v>
      </c>
      <c r="E98" s="2" t="n">
        <v>24</v>
      </c>
      <c r="F98" s="5" t="n">
        <v>0.58</v>
      </c>
      <c r="G98" s="2" t="s">
        <v>85</v>
      </c>
      <c r="H98" s="2" t="n">
        <v>65</v>
      </c>
      <c r="I98" s="17" t="n">
        <f aca="false">IFERROR(VLOOKUP(G98,Assumptions!$A$5:$B$10,2,FALSE()),Assumptions!$B$11)</f>
        <v>0.9</v>
      </c>
      <c r="J98" s="18" t="n">
        <f aca="false">D98*(1-E98/100)*I98*H98/100</f>
        <v>62.244</v>
      </c>
    </row>
    <row r="99" customFormat="false" ht="15" hidden="false" customHeight="false" outlineLevel="0" collapsed="false">
      <c r="A99" s="2" t="n">
        <v>98</v>
      </c>
      <c r="B99" s="2" t="s">
        <v>187</v>
      </c>
      <c r="C99" s="2" t="s">
        <v>105</v>
      </c>
      <c r="D99" s="4" t="n">
        <v>110</v>
      </c>
      <c r="E99" s="2" t="n">
        <v>9</v>
      </c>
      <c r="F99" s="5" t="n">
        <v>0.86</v>
      </c>
      <c r="G99" s="2" t="s">
        <v>85</v>
      </c>
      <c r="H99" s="2" t="n">
        <v>69</v>
      </c>
      <c r="I99" s="17" t="n">
        <f aca="false">IFERROR(VLOOKUP(G99,Assumptions!$A$5:$B$10,2,FALSE()),Assumptions!$B$11)</f>
        <v>0.9</v>
      </c>
      <c r="J99" s="18" t="n">
        <f aca="false">D99*(1-E99/100)*I99*H99/100</f>
        <v>62.1621</v>
      </c>
    </row>
    <row r="100" customFormat="false" ht="15" hidden="false" customHeight="false" outlineLevel="0" collapsed="false">
      <c r="A100" s="2" t="n">
        <v>99</v>
      </c>
      <c r="B100" s="2" t="s">
        <v>188</v>
      </c>
      <c r="C100" s="2" t="s">
        <v>103</v>
      </c>
      <c r="D100" s="4" t="n">
        <v>110</v>
      </c>
      <c r="E100" s="2" t="n">
        <v>9</v>
      </c>
      <c r="F100" s="5" t="n">
        <v>0.21</v>
      </c>
      <c r="G100" s="2" t="s">
        <v>85</v>
      </c>
      <c r="H100" s="2" t="n">
        <v>69</v>
      </c>
      <c r="I100" s="17" t="n">
        <f aca="false">IFERROR(VLOOKUP(G100,Assumptions!$A$5:$B$10,2,FALSE()),Assumptions!$B$11)</f>
        <v>0.9</v>
      </c>
      <c r="J100" s="18" t="n">
        <f aca="false">D100*(1-E100/100)*I100*H100/100</f>
        <v>62.1621</v>
      </c>
    </row>
    <row r="101" customFormat="false" ht="15" hidden="false" customHeight="false" outlineLevel="0" collapsed="false">
      <c r="A101" s="2" t="n">
        <v>100</v>
      </c>
      <c r="B101" s="2" t="s">
        <v>189</v>
      </c>
      <c r="C101" s="2" t="s">
        <v>103</v>
      </c>
      <c r="D101" s="4" t="n">
        <v>140</v>
      </c>
      <c r="E101" s="2" t="n">
        <v>21</v>
      </c>
      <c r="F101" s="5" t="n">
        <v>0.42</v>
      </c>
      <c r="G101" s="2" t="s">
        <v>85</v>
      </c>
      <c r="H101" s="2" t="n">
        <v>62</v>
      </c>
      <c r="I101" s="17" t="n">
        <f aca="false">IFERROR(VLOOKUP(G101,Assumptions!$A$5:$B$10,2,FALSE()),Assumptions!$B$11)</f>
        <v>0.9</v>
      </c>
      <c r="J101" s="18" t="n">
        <f aca="false">D101*(1-E101/100)*I101*H101/100</f>
        <v>61.7148</v>
      </c>
    </row>
    <row r="102" customFormat="false" ht="15" hidden="false" customHeight="false" outlineLevel="0" collapsed="false">
      <c r="A102" s="2" t="n">
        <v>101</v>
      </c>
      <c r="B102" s="2" t="s">
        <v>190</v>
      </c>
      <c r="C102" s="2" t="s">
        <v>105</v>
      </c>
      <c r="D102" s="4" t="n">
        <v>110</v>
      </c>
      <c r="E102" s="2" t="n">
        <v>6</v>
      </c>
      <c r="F102" s="5" t="n">
        <v>0.8</v>
      </c>
      <c r="G102" s="2" t="s">
        <v>85</v>
      </c>
      <c r="H102" s="2" t="n">
        <v>66</v>
      </c>
      <c r="I102" s="17" t="n">
        <f aca="false">IFERROR(VLOOKUP(G102,Assumptions!$A$5:$B$10,2,FALSE()),Assumptions!$B$11)</f>
        <v>0.9</v>
      </c>
      <c r="J102" s="18" t="n">
        <f aca="false">D102*(1-E102/100)*I102*H102/100</f>
        <v>61.4196</v>
      </c>
    </row>
    <row r="103" customFormat="false" ht="15" hidden="false" customHeight="false" outlineLevel="0" collapsed="false">
      <c r="A103" s="2" t="n">
        <v>102</v>
      </c>
      <c r="B103" s="2" t="s">
        <v>191</v>
      </c>
      <c r="C103" s="2" t="s">
        <v>103</v>
      </c>
      <c r="D103" s="4" t="n">
        <v>110</v>
      </c>
      <c r="E103" s="2" t="n">
        <v>13</v>
      </c>
      <c r="F103" s="5" t="n">
        <v>0.65</v>
      </c>
      <c r="G103" s="2" t="s">
        <v>85</v>
      </c>
      <c r="H103" s="2" t="n">
        <v>71</v>
      </c>
      <c r="I103" s="17" t="n">
        <f aca="false">IFERROR(VLOOKUP(G103,Assumptions!$A$5:$B$10,2,FALSE()),Assumptions!$B$11)</f>
        <v>0.9</v>
      </c>
      <c r="J103" s="18" t="n">
        <f aca="false">D103*(1-E103/100)*I103*H103/100</f>
        <v>61.1523</v>
      </c>
    </row>
    <row r="104" customFormat="false" ht="15" hidden="false" customHeight="false" outlineLevel="0" collapsed="false">
      <c r="A104" s="2" t="n">
        <v>103</v>
      </c>
      <c r="B104" s="2" t="s">
        <v>192</v>
      </c>
      <c r="C104" s="2" t="s">
        <v>103</v>
      </c>
      <c r="D104" s="4" t="n">
        <v>90</v>
      </c>
      <c r="E104" s="2" t="n">
        <v>12</v>
      </c>
      <c r="F104" s="5" t="n">
        <v>0.68</v>
      </c>
      <c r="G104" s="2" t="s">
        <v>84</v>
      </c>
      <c r="H104" s="2" t="n">
        <v>77</v>
      </c>
      <c r="I104" s="17" t="n">
        <f aca="false">IFERROR(VLOOKUP(G104,Assumptions!$A$5:$B$10,2,FALSE()),Assumptions!$B$11)</f>
        <v>1</v>
      </c>
      <c r="J104" s="18" t="n">
        <f aca="false">D104*(1-E104/100)*I104*H104/100</f>
        <v>60.984</v>
      </c>
    </row>
    <row r="105" customFormat="false" ht="15" hidden="false" customHeight="false" outlineLevel="0" collapsed="false">
      <c r="A105" s="2" t="n">
        <v>104</v>
      </c>
      <c r="B105" s="2" t="s">
        <v>193</v>
      </c>
      <c r="C105" s="2" t="s">
        <v>103</v>
      </c>
      <c r="D105" s="4" t="n">
        <v>110</v>
      </c>
      <c r="E105" s="2" t="n">
        <v>10</v>
      </c>
      <c r="F105" s="5" t="n">
        <v>0.68</v>
      </c>
      <c r="G105" s="2" t="s">
        <v>85</v>
      </c>
      <c r="H105" s="2" t="n">
        <v>68</v>
      </c>
      <c r="I105" s="17" t="n">
        <f aca="false">IFERROR(VLOOKUP(G105,Assumptions!$A$5:$B$10,2,FALSE()),Assumptions!$B$11)</f>
        <v>0.9</v>
      </c>
      <c r="J105" s="18" t="n">
        <f aca="false">D105*(1-E105/100)*I105*H105/100</f>
        <v>60.588</v>
      </c>
    </row>
    <row r="106" customFormat="false" ht="15" hidden="false" customHeight="false" outlineLevel="0" collapsed="false">
      <c r="A106" s="2" t="n">
        <v>105</v>
      </c>
      <c r="B106" s="2" t="s">
        <v>194</v>
      </c>
      <c r="C106" s="2" t="s">
        <v>103</v>
      </c>
      <c r="D106" s="4" t="n">
        <v>140</v>
      </c>
      <c r="E106" s="2" t="n">
        <v>20</v>
      </c>
      <c r="F106" s="5" t="n">
        <v>0.51</v>
      </c>
      <c r="G106" s="2" t="s">
        <v>85</v>
      </c>
      <c r="H106" s="2" t="n">
        <v>60</v>
      </c>
      <c r="I106" s="17" t="n">
        <f aca="false">IFERROR(VLOOKUP(G106,Assumptions!$A$5:$B$10,2,FALSE()),Assumptions!$B$11)</f>
        <v>0.9</v>
      </c>
      <c r="J106" s="18" t="n">
        <f aca="false">D106*(1-E106/100)*I106*H106/100</f>
        <v>60.48</v>
      </c>
    </row>
    <row r="107" customFormat="false" ht="15" hidden="false" customHeight="false" outlineLevel="0" collapsed="false">
      <c r="A107" s="2" t="n">
        <v>106</v>
      </c>
      <c r="B107" s="2" t="s">
        <v>195</v>
      </c>
      <c r="C107" s="2" t="s">
        <v>103</v>
      </c>
      <c r="D107" s="4" t="n">
        <v>90</v>
      </c>
      <c r="E107" s="2" t="n">
        <v>2</v>
      </c>
      <c r="F107" s="5" t="n">
        <v>0.53</v>
      </c>
      <c r="G107" s="2" t="s">
        <v>84</v>
      </c>
      <c r="H107" s="2" t="n">
        <v>67</v>
      </c>
      <c r="I107" s="17" t="n">
        <f aca="false">IFERROR(VLOOKUP(G107,Assumptions!$A$5:$B$10,2,FALSE()),Assumptions!$B$11)</f>
        <v>1</v>
      </c>
      <c r="J107" s="18" t="n">
        <f aca="false">D107*(1-E107/100)*I107*H107/100</f>
        <v>59.094</v>
      </c>
    </row>
    <row r="108" customFormat="false" ht="15" hidden="false" customHeight="false" outlineLevel="0" collapsed="false">
      <c r="A108" s="2" t="n">
        <v>107</v>
      </c>
      <c r="B108" s="2" t="s">
        <v>196</v>
      </c>
      <c r="C108" s="2" t="s">
        <v>103</v>
      </c>
      <c r="D108" s="4" t="n">
        <v>140</v>
      </c>
      <c r="E108" s="2" t="n">
        <v>26</v>
      </c>
      <c r="F108" s="5" t="n">
        <v>0.55</v>
      </c>
      <c r="G108" s="2" t="s">
        <v>85</v>
      </c>
      <c r="H108" s="2" t="n">
        <v>63</v>
      </c>
      <c r="I108" s="17" t="n">
        <f aca="false">IFERROR(VLOOKUP(G108,Assumptions!$A$5:$B$10,2,FALSE()),Assumptions!$B$11)</f>
        <v>0.9</v>
      </c>
      <c r="J108" s="18" t="n">
        <f aca="false">D108*(1-E108/100)*I108*H108/100</f>
        <v>58.7412</v>
      </c>
    </row>
    <row r="109" customFormat="false" ht="15" hidden="false" customHeight="false" outlineLevel="0" collapsed="false">
      <c r="A109" s="2" t="n">
        <v>108</v>
      </c>
      <c r="B109" s="2" t="s">
        <v>197</v>
      </c>
      <c r="C109" s="2" t="s">
        <v>103</v>
      </c>
      <c r="D109" s="4" t="n">
        <v>90</v>
      </c>
      <c r="E109" s="2" t="n">
        <v>6</v>
      </c>
      <c r="F109" s="5" t="n">
        <v>0.48</v>
      </c>
      <c r="G109" s="2" t="s">
        <v>85</v>
      </c>
      <c r="H109" s="2" t="n">
        <v>77</v>
      </c>
      <c r="I109" s="17" t="n">
        <f aca="false">IFERROR(VLOOKUP(G109,Assumptions!$A$5:$B$10,2,FALSE()),Assumptions!$B$11)</f>
        <v>0.9</v>
      </c>
      <c r="J109" s="18" t="n">
        <f aca="false">D109*(1-E109/100)*I109*H109/100</f>
        <v>58.6278</v>
      </c>
    </row>
    <row r="110" customFormat="false" ht="15" hidden="false" customHeight="false" outlineLevel="0" collapsed="false">
      <c r="A110" s="2" t="n">
        <v>109</v>
      </c>
      <c r="B110" s="2" t="s">
        <v>198</v>
      </c>
      <c r="C110" s="2" t="s">
        <v>103</v>
      </c>
      <c r="D110" s="4" t="n">
        <v>110</v>
      </c>
      <c r="E110" s="2" t="n">
        <v>6</v>
      </c>
      <c r="F110" s="5" t="n">
        <v>0.46</v>
      </c>
      <c r="G110" s="2" t="s">
        <v>85</v>
      </c>
      <c r="H110" s="2" t="n">
        <v>63</v>
      </c>
      <c r="I110" s="17" t="n">
        <f aca="false">IFERROR(VLOOKUP(G110,Assumptions!$A$5:$B$10,2,FALSE()),Assumptions!$B$11)</f>
        <v>0.9</v>
      </c>
      <c r="J110" s="18" t="n">
        <f aca="false">D110*(1-E110/100)*I110*H110/100</f>
        <v>58.6278</v>
      </c>
    </row>
    <row r="111" customFormat="false" ht="15" hidden="false" customHeight="false" outlineLevel="0" collapsed="false">
      <c r="A111" s="2" t="n">
        <v>110</v>
      </c>
      <c r="B111" s="2" t="s">
        <v>199</v>
      </c>
      <c r="C111" s="2" t="s">
        <v>103</v>
      </c>
      <c r="D111" s="4" t="n">
        <v>110</v>
      </c>
      <c r="E111" s="2" t="n">
        <v>9</v>
      </c>
      <c r="F111" s="5" t="n">
        <v>0.52</v>
      </c>
      <c r="G111" s="2" t="s">
        <v>85</v>
      </c>
      <c r="H111" s="2" t="n">
        <v>65</v>
      </c>
      <c r="I111" s="17" t="n">
        <f aca="false">IFERROR(VLOOKUP(G111,Assumptions!$A$5:$B$10,2,FALSE()),Assumptions!$B$11)</f>
        <v>0.9</v>
      </c>
      <c r="J111" s="18" t="n">
        <f aca="false">D111*(1-E111/100)*I111*H111/100</f>
        <v>58.5585</v>
      </c>
    </row>
    <row r="112" customFormat="false" ht="15" hidden="false" customHeight="false" outlineLevel="0" collapsed="false">
      <c r="A112" s="2" t="n">
        <v>111</v>
      </c>
      <c r="B112" s="2" t="s">
        <v>200</v>
      </c>
      <c r="C112" s="2" t="s">
        <v>103</v>
      </c>
      <c r="D112" s="4" t="n">
        <v>90</v>
      </c>
      <c r="E112" s="2" t="n">
        <v>11</v>
      </c>
      <c r="F112" s="5" t="n">
        <v>0.42</v>
      </c>
      <c r="G112" s="2" t="s">
        <v>85</v>
      </c>
      <c r="H112" s="2" t="n">
        <v>81</v>
      </c>
      <c r="I112" s="17" t="n">
        <f aca="false">IFERROR(VLOOKUP(G112,Assumptions!$A$5:$B$10,2,FALSE()),Assumptions!$B$11)</f>
        <v>0.9</v>
      </c>
      <c r="J112" s="18" t="n">
        <f aca="false">D112*(1-E112/100)*I112*H112/100</f>
        <v>58.3929</v>
      </c>
    </row>
    <row r="113" customFormat="false" ht="15" hidden="false" customHeight="false" outlineLevel="0" collapsed="false">
      <c r="A113" s="2" t="n">
        <v>112</v>
      </c>
      <c r="B113" s="2" t="s">
        <v>201</v>
      </c>
      <c r="C113" s="2" t="s">
        <v>103</v>
      </c>
      <c r="D113" s="4" t="n">
        <v>90</v>
      </c>
      <c r="E113" s="2" t="n">
        <v>9</v>
      </c>
      <c r="F113" s="5" t="n">
        <v>0.45</v>
      </c>
      <c r="G113" s="2" t="s">
        <v>85</v>
      </c>
      <c r="H113" s="2" t="n">
        <v>79</v>
      </c>
      <c r="I113" s="17" t="n">
        <f aca="false">IFERROR(VLOOKUP(G113,Assumptions!$A$5:$B$10,2,FALSE()),Assumptions!$B$11)</f>
        <v>0.9</v>
      </c>
      <c r="J113" s="18" t="n">
        <f aca="false">D113*(1-E113/100)*I113*H113/100</f>
        <v>58.2309</v>
      </c>
    </row>
    <row r="114" customFormat="false" ht="15" hidden="false" customHeight="false" outlineLevel="0" collapsed="false">
      <c r="A114" s="2" t="n">
        <v>113</v>
      </c>
      <c r="B114" s="2" t="s">
        <v>202</v>
      </c>
      <c r="C114" s="2" t="s">
        <v>103</v>
      </c>
      <c r="D114" s="4" t="n">
        <v>90</v>
      </c>
      <c r="E114" s="2" t="n">
        <v>5</v>
      </c>
      <c r="F114" s="5" t="n">
        <v>0.72</v>
      </c>
      <c r="G114" s="2" t="s">
        <v>84</v>
      </c>
      <c r="H114" s="2" t="n">
        <v>68</v>
      </c>
      <c r="I114" s="17" t="n">
        <f aca="false">IFERROR(VLOOKUP(G114,Assumptions!$A$5:$B$10,2,FALSE()),Assumptions!$B$11)</f>
        <v>1</v>
      </c>
      <c r="J114" s="18" t="n">
        <f aca="false">D114*(1-E114/100)*I114*H114/100</f>
        <v>58.14</v>
      </c>
    </row>
    <row r="115" customFormat="false" ht="15" hidden="false" customHeight="false" outlineLevel="0" collapsed="false">
      <c r="A115" s="2" t="n">
        <v>114</v>
      </c>
      <c r="B115" s="2" t="s">
        <v>203</v>
      </c>
      <c r="C115" s="2" t="s">
        <v>105</v>
      </c>
      <c r="D115" s="4" t="n">
        <v>110</v>
      </c>
      <c r="E115" s="2" t="n">
        <v>9</v>
      </c>
      <c r="F115" s="5" t="n">
        <v>0.47</v>
      </c>
      <c r="G115" s="2" t="s">
        <v>85</v>
      </c>
      <c r="H115" s="2" t="n">
        <v>64</v>
      </c>
      <c r="I115" s="17" t="n">
        <f aca="false">IFERROR(VLOOKUP(G115,Assumptions!$A$5:$B$10,2,FALSE()),Assumptions!$B$11)</f>
        <v>0.9</v>
      </c>
      <c r="J115" s="18" t="n">
        <f aca="false">D115*(1-E115/100)*I115*H115/100</f>
        <v>57.6576</v>
      </c>
    </row>
    <row r="116" customFormat="false" ht="15" hidden="false" customHeight="false" outlineLevel="0" collapsed="false">
      <c r="A116" s="2" t="n">
        <v>115</v>
      </c>
      <c r="B116" s="2" t="s">
        <v>204</v>
      </c>
      <c r="C116" s="2" t="s">
        <v>105</v>
      </c>
      <c r="D116" s="4" t="n">
        <v>70</v>
      </c>
      <c r="E116" s="2" t="n">
        <v>7</v>
      </c>
      <c r="F116" s="5" t="n">
        <v>0.63</v>
      </c>
      <c r="G116" s="2" t="s">
        <v>84</v>
      </c>
      <c r="H116" s="2" t="n">
        <v>88</v>
      </c>
      <c r="I116" s="17" t="n">
        <f aca="false">IFERROR(VLOOKUP(G116,Assumptions!$A$5:$B$10,2,FALSE()),Assumptions!$B$11)</f>
        <v>1</v>
      </c>
      <c r="J116" s="18" t="n">
        <f aca="false">D116*(1-E116/100)*I116*H116/100</f>
        <v>57.288</v>
      </c>
    </row>
    <row r="117" customFormat="false" ht="15" hidden="false" customHeight="false" outlineLevel="0" collapsed="false">
      <c r="A117" s="2" t="n">
        <v>116</v>
      </c>
      <c r="B117" s="2" t="s">
        <v>205</v>
      </c>
      <c r="C117" s="2" t="s">
        <v>103</v>
      </c>
      <c r="D117" s="4" t="n">
        <v>90</v>
      </c>
      <c r="E117" s="2" t="n">
        <v>10</v>
      </c>
      <c r="F117" s="5" t="n">
        <v>0.42</v>
      </c>
      <c r="G117" s="2" t="s">
        <v>85</v>
      </c>
      <c r="H117" s="2" t="n">
        <v>77</v>
      </c>
      <c r="I117" s="17" t="n">
        <f aca="false">IFERROR(VLOOKUP(G117,Assumptions!$A$5:$B$10,2,FALSE()),Assumptions!$B$11)</f>
        <v>0.9</v>
      </c>
      <c r="J117" s="18" t="n">
        <f aca="false">D117*(1-E117/100)*I117*H117/100</f>
        <v>56.133</v>
      </c>
    </row>
    <row r="118" customFormat="false" ht="15" hidden="false" customHeight="false" outlineLevel="0" collapsed="false">
      <c r="A118" s="2" t="n">
        <v>117</v>
      </c>
      <c r="B118" s="2" t="s">
        <v>206</v>
      </c>
      <c r="C118" s="2" t="s">
        <v>103</v>
      </c>
      <c r="D118" s="4" t="n">
        <v>210</v>
      </c>
      <c r="E118" s="2" t="n">
        <v>18</v>
      </c>
      <c r="F118" s="5" t="n">
        <v>0.36</v>
      </c>
      <c r="G118" s="2" t="s">
        <v>207</v>
      </c>
      <c r="H118" s="2" t="n">
        <v>65</v>
      </c>
      <c r="I118" s="17" t="n">
        <f aca="false">IFERROR(VLOOKUP(G118,Assumptions!$A$5:$B$10,2,FALSE()),Assumptions!$B$11)</f>
        <v>0.5</v>
      </c>
      <c r="J118" s="18" t="n">
        <f aca="false">D118*(1-E118/100)*I118*H118/100</f>
        <v>55.965</v>
      </c>
    </row>
    <row r="119" customFormat="false" ht="15" hidden="false" customHeight="false" outlineLevel="0" collapsed="false">
      <c r="A119" s="2" t="n">
        <v>118</v>
      </c>
      <c r="B119" s="2" t="s">
        <v>60</v>
      </c>
      <c r="C119" s="2" t="s">
        <v>103</v>
      </c>
      <c r="D119" s="4" t="n">
        <v>90</v>
      </c>
      <c r="E119" s="2" t="n">
        <v>0</v>
      </c>
      <c r="F119" s="5" t="n">
        <v>0.65</v>
      </c>
      <c r="G119" s="2" t="s">
        <v>84</v>
      </c>
      <c r="H119" s="2" t="n">
        <v>62</v>
      </c>
      <c r="I119" s="17" t="n">
        <f aca="false">IFERROR(VLOOKUP(G119,Assumptions!$A$5:$B$10,2,FALSE()),Assumptions!$B$11)</f>
        <v>1</v>
      </c>
      <c r="J119" s="18" t="n">
        <f aca="false">D119*(1-E119/100)*I119*H119/100</f>
        <v>55.8</v>
      </c>
    </row>
    <row r="120" customFormat="false" ht="15" hidden="false" customHeight="false" outlineLevel="0" collapsed="false">
      <c r="A120" s="2" t="n">
        <v>119</v>
      </c>
      <c r="B120" s="2" t="s">
        <v>208</v>
      </c>
      <c r="C120" s="2" t="s">
        <v>105</v>
      </c>
      <c r="D120" s="4" t="n">
        <v>110</v>
      </c>
      <c r="E120" s="2" t="n">
        <v>19</v>
      </c>
      <c r="F120" s="5" t="n">
        <v>0.53</v>
      </c>
      <c r="G120" s="2" t="s">
        <v>85</v>
      </c>
      <c r="H120" s="2" t="n">
        <v>69</v>
      </c>
      <c r="I120" s="17" t="n">
        <f aca="false">IFERROR(VLOOKUP(G120,Assumptions!$A$5:$B$10,2,FALSE()),Assumptions!$B$11)</f>
        <v>0.9</v>
      </c>
      <c r="J120" s="18" t="n">
        <f aca="false">D120*(1-E120/100)*I120*H120/100</f>
        <v>55.3311</v>
      </c>
    </row>
    <row r="121" customFormat="false" ht="15" hidden="false" customHeight="false" outlineLevel="0" collapsed="false">
      <c r="A121" s="2" t="n">
        <v>120</v>
      </c>
      <c r="B121" s="2" t="s">
        <v>209</v>
      </c>
      <c r="C121" s="2" t="s">
        <v>103</v>
      </c>
      <c r="D121" s="4" t="n">
        <v>110</v>
      </c>
      <c r="E121" s="2" t="n">
        <v>4</v>
      </c>
      <c r="F121" s="5" t="n">
        <v>0.88</v>
      </c>
      <c r="G121" s="2" t="s">
        <v>85</v>
      </c>
      <c r="H121" s="2" t="n">
        <v>58</v>
      </c>
      <c r="I121" s="17" t="n">
        <f aca="false">IFERROR(VLOOKUP(G121,Assumptions!$A$5:$B$10,2,FALSE()),Assumptions!$B$11)</f>
        <v>0.9</v>
      </c>
      <c r="J121" s="18" t="n">
        <f aca="false">D121*(1-E121/100)*I121*H121/100</f>
        <v>55.1232</v>
      </c>
    </row>
    <row r="122" customFormat="false" ht="15" hidden="false" customHeight="false" outlineLevel="0" collapsed="false">
      <c r="A122" s="2" t="n">
        <v>121</v>
      </c>
      <c r="B122" s="2" t="s">
        <v>210</v>
      </c>
      <c r="C122" s="2" t="s">
        <v>103</v>
      </c>
      <c r="D122" s="4" t="n">
        <v>90</v>
      </c>
      <c r="E122" s="2" t="n">
        <v>6</v>
      </c>
      <c r="F122" s="5" t="n">
        <v>0.14</v>
      </c>
      <c r="G122" s="2" t="s">
        <v>85</v>
      </c>
      <c r="H122" s="2" t="n">
        <v>72</v>
      </c>
      <c r="I122" s="17" t="n">
        <f aca="false">IFERROR(VLOOKUP(G122,Assumptions!$A$5:$B$10,2,FALSE()),Assumptions!$B$11)</f>
        <v>0.9</v>
      </c>
      <c r="J122" s="18" t="n">
        <f aca="false">D122*(1-E122/100)*I122*H122/100</f>
        <v>54.8208</v>
      </c>
    </row>
    <row r="123" customFormat="false" ht="15" hidden="false" customHeight="false" outlineLevel="0" collapsed="false">
      <c r="A123" s="2" t="n">
        <v>122</v>
      </c>
      <c r="B123" s="2" t="s">
        <v>211</v>
      </c>
      <c r="C123" s="2" t="s">
        <v>105</v>
      </c>
      <c r="D123" s="4" t="n">
        <v>90</v>
      </c>
      <c r="E123" s="2" t="n">
        <v>5</v>
      </c>
      <c r="F123" s="5" t="n">
        <v>0.8</v>
      </c>
      <c r="G123" s="2" t="s">
        <v>84</v>
      </c>
      <c r="H123" s="2" t="n">
        <v>64</v>
      </c>
      <c r="I123" s="17" t="n">
        <f aca="false">IFERROR(VLOOKUP(G123,Assumptions!$A$5:$B$10,2,FALSE()),Assumptions!$B$11)</f>
        <v>1</v>
      </c>
      <c r="J123" s="18" t="n">
        <f aca="false">D123*(1-E123/100)*I123*H123/100</f>
        <v>54.72</v>
      </c>
    </row>
    <row r="124" customFormat="false" ht="15" hidden="false" customHeight="false" outlineLevel="0" collapsed="false">
      <c r="A124" s="2" t="n">
        <v>123</v>
      </c>
      <c r="B124" s="2" t="s">
        <v>212</v>
      </c>
      <c r="C124" s="2" t="s">
        <v>105</v>
      </c>
      <c r="D124" s="4" t="n">
        <v>110</v>
      </c>
      <c r="E124" s="2" t="n">
        <v>7</v>
      </c>
      <c r="F124" s="5" t="n">
        <v>0.44</v>
      </c>
      <c r="G124" s="2" t="s">
        <v>85</v>
      </c>
      <c r="H124" s="2" t="n">
        <v>59</v>
      </c>
      <c r="I124" s="17" t="n">
        <f aca="false">IFERROR(VLOOKUP(G124,Assumptions!$A$5:$B$10,2,FALSE()),Assumptions!$B$11)</f>
        <v>0.9</v>
      </c>
      <c r="J124" s="18" t="n">
        <f aca="false">D124*(1-E124/100)*I124*H124/100</f>
        <v>54.3213</v>
      </c>
    </row>
    <row r="125" customFormat="false" ht="15" hidden="false" customHeight="false" outlineLevel="0" collapsed="false">
      <c r="A125" s="2" t="n">
        <v>124</v>
      </c>
      <c r="B125" s="2" t="s">
        <v>213</v>
      </c>
      <c r="C125" s="2" t="s">
        <v>105</v>
      </c>
      <c r="D125" s="4" t="n">
        <v>90</v>
      </c>
      <c r="E125" s="2" t="n">
        <v>5</v>
      </c>
      <c r="F125" s="5" t="n">
        <v>0.62</v>
      </c>
      <c r="G125" s="2" t="s">
        <v>84</v>
      </c>
      <c r="H125" s="2" t="n">
        <v>63</v>
      </c>
      <c r="I125" s="17" t="n">
        <f aca="false">IFERROR(VLOOKUP(G125,Assumptions!$A$5:$B$10,2,FALSE()),Assumptions!$B$11)</f>
        <v>1</v>
      </c>
      <c r="J125" s="18" t="n">
        <f aca="false">D125*(1-E125/100)*I125*H125/100</f>
        <v>53.865</v>
      </c>
    </row>
    <row r="126" customFormat="false" ht="15" hidden="false" customHeight="false" outlineLevel="0" collapsed="false">
      <c r="A126" s="2" t="n">
        <v>125</v>
      </c>
      <c r="B126" s="2" t="s">
        <v>214</v>
      </c>
      <c r="C126" s="2" t="s">
        <v>105</v>
      </c>
      <c r="D126" s="4" t="n">
        <v>110</v>
      </c>
      <c r="E126" s="2" t="n">
        <v>15</v>
      </c>
      <c r="F126" s="5" t="n">
        <v>0.67</v>
      </c>
      <c r="G126" s="2" t="s">
        <v>85</v>
      </c>
      <c r="H126" s="2" t="n">
        <v>62</v>
      </c>
      <c r="I126" s="17" t="n">
        <f aca="false">IFERROR(VLOOKUP(G126,Assumptions!$A$5:$B$10,2,FALSE()),Assumptions!$B$11)</f>
        <v>0.9</v>
      </c>
      <c r="J126" s="18" t="n">
        <f aca="false">D126*(1-E126/100)*I126*H126/100</f>
        <v>52.173</v>
      </c>
    </row>
    <row r="127" customFormat="false" ht="15" hidden="false" customHeight="false" outlineLevel="0" collapsed="false">
      <c r="A127" s="2" t="n">
        <v>126</v>
      </c>
      <c r="B127" s="2" t="s">
        <v>215</v>
      </c>
      <c r="C127" s="2" t="s">
        <v>103</v>
      </c>
      <c r="D127" s="4" t="n">
        <v>90</v>
      </c>
      <c r="E127" s="2" t="n">
        <v>11</v>
      </c>
      <c r="F127" s="5" t="n">
        <v>0.2</v>
      </c>
      <c r="G127" s="2" t="s">
        <v>84</v>
      </c>
      <c r="H127" s="2" t="n">
        <v>65</v>
      </c>
      <c r="I127" s="17" t="n">
        <f aca="false">IFERROR(VLOOKUP(G127,Assumptions!$A$5:$B$10,2,FALSE()),Assumptions!$B$11)</f>
        <v>1</v>
      </c>
      <c r="J127" s="18" t="n">
        <f aca="false">D127*(1-E127/100)*I127*H127/100</f>
        <v>52.065</v>
      </c>
    </row>
    <row r="128" customFormat="false" ht="15" hidden="false" customHeight="false" outlineLevel="0" collapsed="false">
      <c r="A128" s="2" t="n">
        <v>127</v>
      </c>
      <c r="B128" s="2" t="s">
        <v>216</v>
      </c>
      <c r="C128" s="2" t="s">
        <v>105</v>
      </c>
      <c r="D128" s="4" t="n">
        <v>90</v>
      </c>
      <c r="E128" s="2" t="n">
        <v>12</v>
      </c>
      <c r="F128" s="5" t="n">
        <v>0.35</v>
      </c>
      <c r="G128" s="2" t="s">
        <v>85</v>
      </c>
      <c r="H128" s="2" t="n">
        <v>73</v>
      </c>
      <c r="I128" s="17" t="n">
        <f aca="false">IFERROR(VLOOKUP(G128,Assumptions!$A$5:$B$10,2,FALSE()),Assumptions!$B$11)</f>
        <v>0.9</v>
      </c>
      <c r="J128" s="18" t="n">
        <f aca="false">D128*(1-E128/100)*I128*H128/100</f>
        <v>52.0344</v>
      </c>
    </row>
    <row r="129" customFormat="false" ht="15" hidden="false" customHeight="false" outlineLevel="0" collapsed="false">
      <c r="A129" s="2" t="n">
        <v>128</v>
      </c>
      <c r="B129" s="2" t="s">
        <v>217</v>
      </c>
      <c r="C129" s="2" t="s">
        <v>105</v>
      </c>
      <c r="D129" s="4" t="n">
        <v>110</v>
      </c>
      <c r="E129" s="2" t="n">
        <v>15</v>
      </c>
      <c r="F129" s="5" t="n">
        <v>0.69</v>
      </c>
      <c r="G129" s="2" t="s">
        <v>85</v>
      </c>
      <c r="H129" s="2" t="n">
        <v>61</v>
      </c>
      <c r="I129" s="17" t="n">
        <f aca="false">IFERROR(VLOOKUP(G129,Assumptions!$A$5:$B$10,2,FALSE()),Assumptions!$B$11)</f>
        <v>0.9</v>
      </c>
      <c r="J129" s="18" t="n">
        <f aca="false">D129*(1-E129/100)*I129*H129/100</f>
        <v>51.3315</v>
      </c>
    </row>
    <row r="130" customFormat="false" ht="15" hidden="false" customHeight="false" outlineLevel="0" collapsed="false">
      <c r="A130" s="2" t="n">
        <v>129</v>
      </c>
      <c r="B130" s="2" t="s">
        <v>218</v>
      </c>
      <c r="C130" s="2" t="s">
        <v>103</v>
      </c>
      <c r="D130" s="4" t="n">
        <v>90</v>
      </c>
      <c r="E130" s="2" t="n">
        <v>14</v>
      </c>
      <c r="F130" s="5" t="n">
        <v>0.39</v>
      </c>
      <c r="G130" s="2" t="s">
        <v>85</v>
      </c>
      <c r="H130" s="2" t="n">
        <v>73</v>
      </c>
      <c r="I130" s="17" t="n">
        <f aca="false">IFERROR(VLOOKUP(G130,Assumptions!$A$5:$B$10,2,FALSE()),Assumptions!$B$11)</f>
        <v>0.9</v>
      </c>
      <c r="J130" s="18" t="n">
        <f aca="false">D130*(1-E130/100)*I130*H130/100</f>
        <v>50.8518</v>
      </c>
    </row>
    <row r="131" customFormat="false" ht="15" hidden="false" customHeight="false" outlineLevel="0" collapsed="false">
      <c r="A131" s="2" t="n">
        <v>130</v>
      </c>
      <c r="B131" s="2" t="s">
        <v>219</v>
      </c>
      <c r="C131" s="2" t="s">
        <v>105</v>
      </c>
      <c r="D131" s="4" t="n">
        <v>70</v>
      </c>
      <c r="E131" s="2" t="n">
        <v>5</v>
      </c>
      <c r="F131" s="5" t="n">
        <v>0.42</v>
      </c>
      <c r="G131" s="2" t="s">
        <v>84</v>
      </c>
      <c r="H131" s="2" t="n">
        <v>76</v>
      </c>
      <c r="I131" s="17" t="n">
        <f aca="false">IFERROR(VLOOKUP(G131,Assumptions!$A$5:$B$10,2,FALSE()),Assumptions!$B$11)</f>
        <v>1</v>
      </c>
      <c r="J131" s="18" t="n">
        <f aca="false">D131*(1-E131/100)*I131*H131/100</f>
        <v>50.54</v>
      </c>
    </row>
    <row r="132" customFormat="false" ht="15" hidden="false" customHeight="false" outlineLevel="0" collapsed="false">
      <c r="A132" s="2" t="n">
        <v>131</v>
      </c>
      <c r="B132" s="2" t="s">
        <v>220</v>
      </c>
      <c r="C132" s="2" t="s">
        <v>103</v>
      </c>
      <c r="D132" s="4" t="n">
        <v>70</v>
      </c>
      <c r="E132" s="2" t="n">
        <v>5</v>
      </c>
      <c r="F132" s="5" t="n">
        <v>0.31</v>
      </c>
      <c r="G132" s="2" t="s">
        <v>84</v>
      </c>
      <c r="H132" s="2" t="n">
        <v>76</v>
      </c>
      <c r="I132" s="17" t="n">
        <f aca="false">IFERROR(VLOOKUP(G132,Assumptions!$A$5:$B$10,2,FALSE()),Assumptions!$B$11)</f>
        <v>1</v>
      </c>
      <c r="J132" s="18" t="n">
        <f aca="false">D132*(1-E132/100)*I132*H132/100</f>
        <v>50.54</v>
      </c>
    </row>
    <row r="133" customFormat="false" ht="15" hidden="false" customHeight="false" outlineLevel="0" collapsed="false">
      <c r="A133" s="2" t="n">
        <v>132</v>
      </c>
      <c r="B133" s="2" t="s">
        <v>221</v>
      </c>
      <c r="C133" s="2" t="s">
        <v>103</v>
      </c>
      <c r="D133" s="4" t="n">
        <v>110</v>
      </c>
      <c r="E133" s="2" t="n">
        <v>18</v>
      </c>
      <c r="F133" s="5" t="n">
        <v>0.43</v>
      </c>
      <c r="G133" s="2" t="s">
        <v>85</v>
      </c>
      <c r="H133" s="2" t="n">
        <v>62</v>
      </c>
      <c r="I133" s="17" t="n">
        <f aca="false">IFERROR(VLOOKUP(G133,Assumptions!$A$5:$B$10,2,FALSE()),Assumptions!$B$11)</f>
        <v>0.9</v>
      </c>
      <c r="J133" s="18" t="n">
        <f aca="false">D133*(1-E133/100)*I133*H133/100</f>
        <v>50.3316</v>
      </c>
    </row>
    <row r="134" customFormat="false" ht="15" hidden="false" customHeight="false" outlineLevel="0" collapsed="false">
      <c r="A134" s="2" t="n">
        <v>133</v>
      </c>
      <c r="B134" s="2" t="s">
        <v>222</v>
      </c>
      <c r="C134" s="2" t="s">
        <v>103</v>
      </c>
      <c r="D134" s="4" t="n">
        <v>110</v>
      </c>
      <c r="E134" s="2" t="n">
        <v>11</v>
      </c>
      <c r="F134" s="5" t="n">
        <v>0</v>
      </c>
      <c r="G134" s="2" t="s">
        <v>86</v>
      </c>
      <c r="H134" s="2" t="n">
        <v>64</v>
      </c>
      <c r="I134" s="17" t="n">
        <f aca="false">IFERROR(VLOOKUP(G134,Assumptions!$A$5:$B$10,2,FALSE()),Assumptions!$B$11)</f>
        <v>0.8</v>
      </c>
      <c r="J134" s="18" t="n">
        <f aca="false">D134*(1-E134/100)*I134*H134/100</f>
        <v>50.1248</v>
      </c>
    </row>
    <row r="135" customFormat="false" ht="15" hidden="false" customHeight="false" outlineLevel="0" collapsed="false">
      <c r="A135" s="2" t="n">
        <v>134</v>
      </c>
      <c r="B135" s="2" t="s">
        <v>223</v>
      </c>
      <c r="C135" s="2" t="s">
        <v>103</v>
      </c>
      <c r="D135" s="4" t="n">
        <v>90</v>
      </c>
      <c r="E135" s="2" t="n">
        <v>9</v>
      </c>
      <c r="F135" s="5" t="n">
        <v>0.4</v>
      </c>
      <c r="G135" s="2" t="s">
        <v>85</v>
      </c>
      <c r="H135" s="2" t="n">
        <v>68</v>
      </c>
      <c r="I135" s="17" t="n">
        <f aca="false">IFERROR(VLOOKUP(G135,Assumptions!$A$5:$B$10,2,FALSE()),Assumptions!$B$11)</f>
        <v>0.9</v>
      </c>
      <c r="J135" s="18" t="n">
        <f aca="false">D135*(1-E135/100)*I135*H135/100</f>
        <v>50.1228</v>
      </c>
    </row>
    <row r="136" customFormat="false" ht="15" hidden="false" customHeight="false" outlineLevel="0" collapsed="false">
      <c r="A136" s="2" t="n">
        <v>135</v>
      </c>
      <c r="B136" s="2" t="s">
        <v>224</v>
      </c>
      <c r="C136" s="2" t="s">
        <v>103</v>
      </c>
      <c r="D136" s="4" t="n">
        <v>90</v>
      </c>
      <c r="E136" s="2" t="n">
        <v>6</v>
      </c>
      <c r="F136" s="5" t="n">
        <v>0.61</v>
      </c>
      <c r="G136" s="2" t="s">
        <v>84</v>
      </c>
      <c r="H136" s="2" t="n">
        <v>59</v>
      </c>
      <c r="I136" s="17" t="n">
        <f aca="false">IFERROR(VLOOKUP(G136,Assumptions!$A$5:$B$10,2,FALSE()),Assumptions!$B$11)</f>
        <v>1</v>
      </c>
      <c r="J136" s="18" t="n">
        <f aca="false">D136*(1-E136/100)*I136*H136/100</f>
        <v>49.914</v>
      </c>
    </row>
    <row r="137" customFormat="false" ht="15" hidden="false" customHeight="false" outlineLevel="0" collapsed="false">
      <c r="A137" s="2" t="n">
        <v>136</v>
      </c>
      <c r="B137" s="2" t="s">
        <v>225</v>
      </c>
      <c r="C137" s="2" t="s">
        <v>103</v>
      </c>
      <c r="D137" s="4" t="n">
        <v>110</v>
      </c>
      <c r="E137" s="2" t="n">
        <v>4</v>
      </c>
      <c r="F137" s="5" t="n">
        <v>0.86</v>
      </c>
      <c r="G137" s="2" t="s">
        <v>87</v>
      </c>
      <c r="H137" s="2" t="n">
        <v>67</v>
      </c>
      <c r="I137" s="17" t="n">
        <f aca="false">IFERROR(VLOOKUP(G137,Assumptions!$A$5:$B$10,2,FALSE()),Assumptions!$B$11)</f>
        <v>0.7</v>
      </c>
      <c r="J137" s="18" t="n">
        <f aca="false">D137*(1-E137/100)*I137*H137/100</f>
        <v>49.5264</v>
      </c>
    </row>
    <row r="138" customFormat="false" ht="15" hidden="false" customHeight="false" outlineLevel="0" collapsed="false">
      <c r="A138" s="2" t="n">
        <v>137</v>
      </c>
      <c r="B138" s="2" t="s">
        <v>226</v>
      </c>
      <c r="C138" s="2" t="s">
        <v>105</v>
      </c>
      <c r="D138" s="4" t="n">
        <v>90</v>
      </c>
      <c r="E138" s="2" t="n">
        <v>12</v>
      </c>
      <c r="F138" s="5" t="n">
        <v>0.83</v>
      </c>
      <c r="G138" s="2" t="s">
        <v>85</v>
      </c>
      <c r="H138" s="2" t="n">
        <v>68</v>
      </c>
      <c r="I138" s="17" t="n">
        <f aca="false">IFERROR(VLOOKUP(G138,Assumptions!$A$5:$B$10,2,FALSE()),Assumptions!$B$11)</f>
        <v>0.9</v>
      </c>
      <c r="J138" s="18" t="n">
        <f aca="false">D138*(1-E138/100)*I138*H138/100</f>
        <v>48.4704</v>
      </c>
    </row>
    <row r="139" customFormat="false" ht="15" hidden="false" customHeight="false" outlineLevel="0" collapsed="false">
      <c r="A139" s="2" t="n">
        <v>138</v>
      </c>
      <c r="B139" s="2" t="s">
        <v>227</v>
      </c>
      <c r="C139" s="2" t="s">
        <v>105</v>
      </c>
      <c r="D139" s="4" t="n">
        <v>110</v>
      </c>
      <c r="E139" s="2" t="n">
        <v>27</v>
      </c>
      <c r="F139" s="5" t="n">
        <v>0.85</v>
      </c>
      <c r="G139" s="2" t="s">
        <v>85</v>
      </c>
      <c r="H139" s="2" t="n">
        <v>66</v>
      </c>
      <c r="I139" s="17" t="n">
        <f aca="false">IFERROR(VLOOKUP(G139,Assumptions!$A$5:$B$10,2,FALSE()),Assumptions!$B$11)</f>
        <v>0.9</v>
      </c>
      <c r="J139" s="18" t="n">
        <f aca="false">D139*(1-E139/100)*I139*H139/100</f>
        <v>47.6982</v>
      </c>
    </row>
    <row r="140" customFormat="false" ht="15" hidden="false" customHeight="false" outlineLevel="0" collapsed="false">
      <c r="A140" s="2" t="n">
        <v>139</v>
      </c>
      <c r="B140" s="2" t="s">
        <v>228</v>
      </c>
      <c r="C140" s="2" t="s">
        <v>105</v>
      </c>
      <c r="D140" s="4" t="n">
        <v>70</v>
      </c>
      <c r="E140" s="2" t="n">
        <v>19</v>
      </c>
      <c r="F140" s="5" t="n">
        <v>0.56</v>
      </c>
      <c r="G140" s="2" t="s">
        <v>84</v>
      </c>
      <c r="H140" s="2" t="n">
        <v>84</v>
      </c>
      <c r="I140" s="17" t="n">
        <f aca="false">IFERROR(VLOOKUP(G140,Assumptions!$A$5:$B$10,2,FALSE()),Assumptions!$B$11)</f>
        <v>1</v>
      </c>
      <c r="J140" s="18" t="n">
        <f aca="false">D140*(1-E140/100)*I140*H140/100</f>
        <v>47.628</v>
      </c>
    </row>
    <row r="141" customFormat="false" ht="15" hidden="false" customHeight="false" outlineLevel="0" collapsed="false">
      <c r="A141" s="2" t="n">
        <v>140</v>
      </c>
      <c r="B141" s="2" t="s">
        <v>229</v>
      </c>
      <c r="C141" s="2" t="s">
        <v>105</v>
      </c>
      <c r="D141" s="4" t="n">
        <v>140</v>
      </c>
      <c r="E141" s="2" t="n">
        <v>42</v>
      </c>
      <c r="F141" s="5" t="n">
        <v>0.69</v>
      </c>
      <c r="G141" s="2" t="s">
        <v>85</v>
      </c>
      <c r="H141" s="2" t="n">
        <v>65</v>
      </c>
      <c r="I141" s="17" t="n">
        <f aca="false">IFERROR(VLOOKUP(G141,Assumptions!$A$5:$B$10,2,FALSE()),Assumptions!$B$11)</f>
        <v>0.9</v>
      </c>
      <c r="J141" s="18" t="n">
        <f aca="false">D141*(1-E141/100)*I141*H141/100</f>
        <v>47.502</v>
      </c>
    </row>
    <row r="142" customFormat="false" ht="15" hidden="false" customHeight="false" outlineLevel="0" collapsed="false">
      <c r="A142" s="2" t="n">
        <v>141</v>
      </c>
      <c r="B142" s="2" t="s">
        <v>230</v>
      </c>
      <c r="C142" s="2" t="s">
        <v>105</v>
      </c>
      <c r="D142" s="4" t="n">
        <v>90</v>
      </c>
      <c r="E142" s="2" t="n">
        <v>7</v>
      </c>
      <c r="F142" s="5" t="n">
        <v>0.62</v>
      </c>
      <c r="G142" s="2" t="s">
        <v>85</v>
      </c>
      <c r="H142" s="2" t="n">
        <v>63</v>
      </c>
      <c r="I142" s="17" t="n">
        <f aca="false">IFERROR(VLOOKUP(G142,Assumptions!$A$5:$B$10,2,FALSE()),Assumptions!$B$11)</f>
        <v>0.9</v>
      </c>
      <c r="J142" s="18" t="n">
        <f aca="false">D142*(1-E142/100)*I142*H142/100</f>
        <v>47.4579</v>
      </c>
    </row>
    <row r="143" customFormat="false" ht="15" hidden="false" customHeight="false" outlineLevel="0" collapsed="false">
      <c r="A143" s="2" t="n">
        <v>142</v>
      </c>
      <c r="B143" s="2" t="s">
        <v>231</v>
      </c>
      <c r="C143" s="2" t="s">
        <v>105</v>
      </c>
      <c r="D143" s="4" t="n">
        <v>90</v>
      </c>
      <c r="E143" s="2" t="n">
        <v>20</v>
      </c>
      <c r="F143" s="5" t="n">
        <v>0.49</v>
      </c>
      <c r="G143" s="2" t="s">
        <v>85</v>
      </c>
      <c r="H143" s="2" t="n">
        <v>73</v>
      </c>
      <c r="I143" s="17" t="n">
        <f aca="false">IFERROR(VLOOKUP(G143,Assumptions!$A$5:$B$10,2,FALSE()),Assumptions!$B$11)</f>
        <v>0.9</v>
      </c>
      <c r="J143" s="18" t="n">
        <f aca="false">D143*(1-E143/100)*I143*H143/100</f>
        <v>47.304</v>
      </c>
    </row>
    <row r="144" customFormat="false" ht="15" hidden="false" customHeight="false" outlineLevel="0" collapsed="false">
      <c r="A144" s="2" t="n">
        <v>143</v>
      </c>
      <c r="B144" s="2" t="s">
        <v>232</v>
      </c>
      <c r="C144" s="2" t="s">
        <v>105</v>
      </c>
      <c r="D144" s="4" t="n">
        <v>70</v>
      </c>
      <c r="E144" s="2" t="n">
        <v>10</v>
      </c>
      <c r="F144" s="5" t="n">
        <v>0.43</v>
      </c>
      <c r="G144" s="2" t="s">
        <v>85</v>
      </c>
      <c r="H144" s="2" t="n">
        <v>82</v>
      </c>
      <c r="I144" s="17" t="n">
        <f aca="false">IFERROR(VLOOKUP(G144,Assumptions!$A$5:$B$10,2,FALSE()),Assumptions!$B$11)</f>
        <v>0.9</v>
      </c>
      <c r="J144" s="18" t="n">
        <f aca="false">D144*(1-E144/100)*I144*H144/100</f>
        <v>46.494</v>
      </c>
    </row>
    <row r="145" customFormat="false" ht="15" hidden="false" customHeight="false" outlineLevel="0" collapsed="false">
      <c r="A145" s="2" t="n">
        <v>144</v>
      </c>
      <c r="B145" s="2" t="s">
        <v>233</v>
      </c>
      <c r="C145" s="2" t="s">
        <v>103</v>
      </c>
      <c r="D145" s="4" t="n">
        <v>110</v>
      </c>
      <c r="E145" s="2" t="n">
        <v>19</v>
      </c>
      <c r="F145" s="5" t="n">
        <v>0.51</v>
      </c>
      <c r="G145" s="2" t="s">
        <v>85</v>
      </c>
      <c r="H145" s="2" t="n">
        <v>57</v>
      </c>
      <c r="I145" s="17" t="n">
        <f aca="false">IFERROR(VLOOKUP(G145,Assumptions!$A$5:$B$10,2,FALSE()),Assumptions!$B$11)</f>
        <v>0.9</v>
      </c>
      <c r="J145" s="18" t="n">
        <f aca="false">D145*(1-E145/100)*I145*H145/100</f>
        <v>45.7083</v>
      </c>
    </row>
    <row r="146" customFormat="false" ht="15" hidden="false" customHeight="false" outlineLevel="0" collapsed="false">
      <c r="A146" s="2" t="n">
        <v>145</v>
      </c>
      <c r="B146" s="2" t="s">
        <v>234</v>
      </c>
      <c r="C146" s="2" t="s">
        <v>105</v>
      </c>
      <c r="D146" s="4" t="n">
        <v>90</v>
      </c>
      <c r="E146" s="2" t="n">
        <v>9</v>
      </c>
      <c r="F146" s="5" t="n">
        <v>0.84</v>
      </c>
      <c r="G146" s="2" t="s">
        <v>85</v>
      </c>
      <c r="H146" s="2" t="n">
        <v>62</v>
      </c>
      <c r="I146" s="17" t="n">
        <f aca="false">IFERROR(VLOOKUP(G146,Assumptions!$A$5:$B$10,2,FALSE()),Assumptions!$B$11)</f>
        <v>0.9</v>
      </c>
      <c r="J146" s="18" t="n">
        <f aca="false">D146*(1-E146/100)*I146*H146/100</f>
        <v>45.7002</v>
      </c>
    </row>
    <row r="147" customFormat="false" ht="15" hidden="false" customHeight="false" outlineLevel="0" collapsed="false">
      <c r="A147" s="2" t="n">
        <v>146</v>
      </c>
      <c r="B147" s="2" t="s">
        <v>235</v>
      </c>
      <c r="C147" s="2" t="s">
        <v>103</v>
      </c>
      <c r="D147" s="4" t="n">
        <v>90</v>
      </c>
      <c r="E147" s="2" t="n">
        <v>15</v>
      </c>
      <c r="F147" s="5" t="n">
        <v>0.25</v>
      </c>
      <c r="G147" s="2" t="s">
        <v>85</v>
      </c>
      <c r="H147" s="2" t="n">
        <v>66</v>
      </c>
      <c r="I147" s="17" t="n">
        <f aca="false">IFERROR(VLOOKUP(G147,Assumptions!$A$5:$B$10,2,FALSE()),Assumptions!$B$11)</f>
        <v>0.9</v>
      </c>
      <c r="J147" s="18" t="n">
        <f aca="false">D147*(1-E147/100)*I147*H147/100</f>
        <v>45.441</v>
      </c>
    </row>
    <row r="148" customFormat="false" ht="15" hidden="false" customHeight="false" outlineLevel="0" collapsed="false">
      <c r="A148" s="2" t="n">
        <v>147</v>
      </c>
      <c r="B148" s="2" t="s">
        <v>236</v>
      </c>
      <c r="C148" s="2" t="s">
        <v>103</v>
      </c>
      <c r="D148" s="4" t="n">
        <v>70</v>
      </c>
      <c r="E148" s="2" t="n">
        <v>7</v>
      </c>
      <c r="F148" s="5" t="n">
        <v>0.44</v>
      </c>
      <c r="G148" s="2" t="s">
        <v>85</v>
      </c>
      <c r="H148" s="2" t="n">
        <v>77</v>
      </c>
      <c r="I148" s="17" t="n">
        <f aca="false">IFERROR(VLOOKUP(G148,Assumptions!$A$5:$B$10,2,FALSE()),Assumptions!$B$11)</f>
        <v>0.9</v>
      </c>
      <c r="J148" s="18" t="n">
        <f aca="false">D148*(1-E148/100)*I148*H148/100</f>
        <v>45.1143</v>
      </c>
    </row>
    <row r="149" customFormat="false" ht="15" hidden="false" customHeight="false" outlineLevel="0" collapsed="false">
      <c r="A149" s="2" t="n">
        <v>148</v>
      </c>
      <c r="B149" s="2" t="s">
        <v>237</v>
      </c>
      <c r="C149" s="2" t="s">
        <v>105</v>
      </c>
      <c r="D149" s="4" t="n">
        <v>90</v>
      </c>
      <c r="E149" s="2" t="n">
        <v>21</v>
      </c>
      <c r="F149" s="5" t="n">
        <v>0.35</v>
      </c>
      <c r="G149" s="2" t="s">
        <v>85</v>
      </c>
      <c r="H149" s="2" t="n">
        <v>70</v>
      </c>
      <c r="I149" s="17" t="n">
        <f aca="false">IFERROR(VLOOKUP(G149,Assumptions!$A$5:$B$10,2,FALSE()),Assumptions!$B$11)</f>
        <v>0.9</v>
      </c>
      <c r="J149" s="18" t="n">
        <f aca="false">D149*(1-E149/100)*I149*H149/100</f>
        <v>44.793</v>
      </c>
    </row>
    <row r="150" customFormat="false" ht="15" hidden="false" customHeight="false" outlineLevel="0" collapsed="false">
      <c r="A150" s="2" t="n">
        <v>149</v>
      </c>
      <c r="B150" s="2" t="s">
        <v>238</v>
      </c>
      <c r="C150" s="2" t="s">
        <v>105</v>
      </c>
      <c r="D150" s="4" t="n">
        <v>90</v>
      </c>
      <c r="E150" s="2" t="n">
        <v>16</v>
      </c>
      <c r="F150" s="5" t="n">
        <v>0.47</v>
      </c>
      <c r="G150" s="2" t="s">
        <v>85</v>
      </c>
      <c r="H150" s="2" t="n">
        <v>64</v>
      </c>
      <c r="I150" s="17" t="n">
        <f aca="false">IFERROR(VLOOKUP(G150,Assumptions!$A$5:$B$10,2,FALSE()),Assumptions!$B$11)</f>
        <v>0.9</v>
      </c>
      <c r="J150" s="18" t="n">
        <f aca="false">D150*(1-E150/100)*I150*H150/100</f>
        <v>43.5456</v>
      </c>
    </row>
    <row r="151" customFormat="false" ht="15" hidden="false" customHeight="false" outlineLevel="0" collapsed="false">
      <c r="A151" s="2" t="n">
        <v>150</v>
      </c>
      <c r="B151" s="2" t="s">
        <v>239</v>
      </c>
      <c r="C151" s="2" t="s">
        <v>103</v>
      </c>
      <c r="D151" s="4" t="n">
        <v>90</v>
      </c>
      <c r="E151" s="2" t="n">
        <v>10</v>
      </c>
      <c r="F151" s="5" t="n">
        <v>0.15</v>
      </c>
      <c r="G151" s="2" t="s">
        <v>85</v>
      </c>
      <c r="H151" s="2" t="n">
        <v>59</v>
      </c>
      <c r="I151" s="17" t="n">
        <f aca="false">IFERROR(VLOOKUP(G151,Assumptions!$A$5:$B$10,2,FALSE()),Assumptions!$B$11)</f>
        <v>0.9</v>
      </c>
      <c r="J151" s="18" t="n">
        <f aca="false">D151*(1-E151/100)*I151*H151/100</f>
        <v>43.011</v>
      </c>
    </row>
    <row r="152" customFormat="false" ht="15" hidden="false" customHeight="false" outlineLevel="0" collapsed="false">
      <c r="A152" s="2" t="n">
        <v>151</v>
      </c>
      <c r="B152" s="2" t="s">
        <v>240</v>
      </c>
      <c r="C152" s="2" t="s">
        <v>105</v>
      </c>
      <c r="D152" s="4" t="n">
        <v>90</v>
      </c>
      <c r="E152" s="2" t="n">
        <v>12</v>
      </c>
      <c r="F152" s="5" t="n">
        <v>0.36</v>
      </c>
      <c r="G152" s="2" t="s">
        <v>85</v>
      </c>
      <c r="H152" s="2" t="n">
        <v>59</v>
      </c>
      <c r="I152" s="17" t="n">
        <f aca="false">IFERROR(VLOOKUP(G152,Assumptions!$A$5:$B$10,2,FALSE()),Assumptions!$B$11)</f>
        <v>0.9</v>
      </c>
      <c r="J152" s="18" t="n">
        <f aca="false">D152*(1-E152/100)*I152*H152/100</f>
        <v>42.0552</v>
      </c>
    </row>
    <row r="153" customFormat="false" ht="15" hidden="false" customHeight="false" outlineLevel="0" collapsed="false">
      <c r="A153" s="2" t="n">
        <v>152</v>
      </c>
      <c r="B153" s="2" t="s">
        <v>241</v>
      </c>
      <c r="C153" s="2" t="s">
        <v>103</v>
      </c>
      <c r="D153" s="4" t="n">
        <v>70</v>
      </c>
      <c r="E153" s="2" t="n">
        <v>14</v>
      </c>
      <c r="F153" s="5" t="n">
        <v>0.2</v>
      </c>
      <c r="G153" s="2" t="s">
        <v>84</v>
      </c>
      <c r="H153" s="2" t="n">
        <v>68</v>
      </c>
      <c r="I153" s="17" t="n">
        <f aca="false">IFERROR(VLOOKUP(G153,Assumptions!$A$5:$B$10,2,FALSE()),Assumptions!$B$11)</f>
        <v>1</v>
      </c>
      <c r="J153" s="18" t="n">
        <f aca="false">D153*(1-E153/100)*I153*H153/100</f>
        <v>40.936</v>
      </c>
    </row>
    <row r="154" customFormat="false" ht="15" hidden="false" customHeight="false" outlineLevel="0" collapsed="false">
      <c r="A154" s="2" t="n">
        <v>153</v>
      </c>
      <c r="B154" s="2" t="s">
        <v>242</v>
      </c>
      <c r="C154" s="2" t="s">
        <v>103</v>
      </c>
      <c r="D154" s="4" t="n">
        <v>70</v>
      </c>
      <c r="E154" s="2" t="n">
        <v>6</v>
      </c>
      <c r="F154" s="5" t="n">
        <v>0.47</v>
      </c>
      <c r="G154" s="2" t="s">
        <v>85</v>
      </c>
      <c r="H154" s="2" t="n">
        <v>69</v>
      </c>
      <c r="I154" s="17" t="n">
        <f aca="false">IFERROR(VLOOKUP(G154,Assumptions!$A$5:$B$10,2,FALSE()),Assumptions!$B$11)</f>
        <v>0.9</v>
      </c>
      <c r="J154" s="18" t="n">
        <f aca="false">D154*(1-E154/100)*I154*H154/100</f>
        <v>40.8618</v>
      </c>
    </row>
    <row r="155" customFormat="false" ht="15" hidden="false" customHeight="false" outlineLevel="0" collapsed="false">
      <c r="A155" s="2" t="n">
        <v>154</v>
      </c>
      <c r="B155" s="2" t="s">
        <v>243</v>
      </c>
      <c r="C155" s="2" t="s">
        <v>103</v>
      </c>
      <c r="D155" s="4" t="n">
        <v>70</v>
      </c>
      <c r="E155" s="2" t="n">
        <v>8</v>
      </c>
      <c r="F155" s="5" t="n">
        <v>0.18</v>
      </c>
      <c r="G155" s="2" t="s">
        <v>85</v>
      </c>
      <c r="H155" s="2" t="n">
        <v>70</v>
      </c>
      <c r="I155" s="17" t="n">
        <f aca="false">IFERROR(VLOOKUP(G155,Assumptions!$A$5:$B$10,2,FALSE()),Assumptions!$B$11)</f>
        <v>0.9</v>
      </c>
      <c r="J155" s="18" t="n">
        <f aca="false">D155*(1-E155/100)*I155*H155/100</f>
        <v>40.572</v>
      </c>
    </row>
    <row r="156" customFormat="false" ht="15" hidden="false" customHeight="false" outlineLevel="0" collapsed="false">
      <c r="A156" s="2" t="n">
        <v>155</v>
      </c>
      <c r="B156" s="2" t="s">
        <v>244</v>
      </c>
      <c r="C156" s="2" t="s">
        <v>103</v>
      </c>
      <c r="D156" s="4" t="n">
        <v>70</v>
      </c>
      <c r="E156" s="2" t="n">
        <v>24</v>
      </c>
      <c r="F156" s="5" t="n">
        <v>0.54</v>
      </c>
      <c r="G156" s="2" t="s">
        <v>84</v>
      </c>
      <c r="H156" s="2" t="n">
        <v>76</v>
      </c>
      <c r="I156" s="17" t="n">
        <f aca="false">IFERROR(VLOOKUP(G156,Assumptions!$A$5:$B$10,2,FALSE()),Assumptions!$B$11)</f>
        <v>1</v>
      </c>
      <c r="J156" s="18" t="n">
        <f aca="false">D156*(1-E156/100)*I156*H156/100</f>
        <v>40.432</v>
      </c>
    </row>
    <row r="157" customFormat="false" ht="15" hidden="false" customHeight="false" outlineLevel="0" collapsed="false">
      <c r="A157" s="2" t="n">
        <v>156</v>
      </c>
      <c r="B157" s="2" t="s">
        <v>245</v>
      </c>
      <c r="C157" s="2" t="s">
        <v>105</v>
      </c>
      <c r="D157" s="4" t="n">
        <v>70</v>
      </c>
      <c r="E157" s="2" t="n">
        <v>5</v>
      </c>
      <c r="F157" s="5" t="n">
        <v>0.59</v>
      </c>
      <c r="G157" s="2" t="s">
        <v>85</v>
      </c>
      <c r="H157" s="2" t="n">
        <v>66</v>
      </c>
      <c r="I157" s="17" t="n">
        <f aca="false">IFERROR(VLOOKUP(G157,Assumptions!$A$5:$B$10,2,FALSE()),Assumptions!$B$11)</f>
        <v>0.9</v>
      </c>
      <c r="J157" s="18" t="n">
        <f aca="false">D157*(1-E157/100)*I157*H157/100</f>
        <v>39.501</v>
      </c>
    </row>
    <row r="158" customFormat="false" ht="15" hidden="false" customHeight="false" outlineLevel="0" collapsed="false">
      <c r="A158" s="2" t="n">
        <v>157</v>
      </c>
      <c r="B158" s="2" t="s">
        <v>246</v>
      </c>
      <c r="C158" s="2" t="s">
        <v>105</v>
      </c>
      <c r="D158" s="4" t="n">
        <v>90</v>
      </c>
      <c r="E158" s="2" t="n">
        <v>25</v>
      </c>
      <c r="F158" s="5" t="n">
        <v>0.43</v>
      </c>
      <c r="G158" s="2" t="s">
        <v>85</v>
      </c>
      <c r="H158" s="2" t="n">
        <v>64</v>
      </c>
      <c r="I158" s="17" t="n">
        <f aca="false">IFERROR(VLOOKUP(G158,Assumptions!$A$5:$B$10,2,FALSE()),Assumptions!$B$11)</f>
        <v>0.9</v>
      </c>
      <c r="J158" s="18" t="n">
        <f aca="false">D158*(1-E158/100)*I158*H158/100</f>
        <v>38.88</v>
      </c>
    </row>
    <row r="159" customFormat="false" ht="15" hidden="false" customHeight="false" outlineLevel="0" collapsed="false">
      <c r="A159" s="2" t="n">
        <v>158</v>
      </c>
      <c r="B159" s="2" t="s">
        <v>247</v>
      </c>
      <c r="C159" s="2" t="s">
        <v>105</v>
      </c>
      <c r="D159" s="4" t="n">
        <v>90</v>
      </c>
      <c r="E159" s="2" t="n">
        <v>46</v>
      </c>
      <c r="F159" s="5" t="n">
        <v>0.75</v>
      </c>
      <c r="G159" s="2" t="s">
        <v>84</v>
      </c>
      <c r="H159" s="2" t="n">
        <v>80</v>
      </c>
      <c r="I159" s="17" t="n">
        <f aca="false">IFERROR(VLOOKUP(G159,Assumptions!$A$5:$B$10,2,FALSE()),Assumptions!$B$11)</f>
        <v>1</v>
      </c>
      <c r="J159" s="18" t="n">
        <f aca="false">D159*(1-E159/100)*I159*H159/100</f>
        <v>38.88</v>
      </c>
    </row>
    <row r="160" customFormat="false" ht="15" hidden="false" customHeight="false" outlineLevel="0" collapsed="false">
      <c r="A160" s="2" t="n">
        <v>159</v>
      </c>
      <c r="B160" s="2" t="s">
        <v>248</v>
      </c>
      <c r="C160" s="2" t="s">
        <v>105</v>
      </c>
      <c r="D160" s="4" t="n">
        <v>70</v>
      </c>
      <c r="E160" s="2" t="n">
        <v>10</v>
      </c>
      <c r="F160" s="5" t="n">
        <v>0.35</v>
      </c>
      <c r="G160" s="2" t="s">
        <v>85</v>
      </c>
      <c r="H160" s="2" t="n">
        <v>68</v>
      </c>
      <c r="I160" s="17" t="n">
        <f aca="false">IFERROR(VLOOKUP(G160,Assumptions!$A$5:$B$10,2,FALSE()),Assumptions!$B$11)</f>
        <v>0.9</v>
      </c>
      <c r="J160" s="18" t="n">
        <f aca="false">D160*(1-E160/100)*I160*H160/100</f>
        <v>38.556</v>
      </c>
    </row>
    <row r="161" customFormat="false" ht="15" hidden="false" customHeight="false" outlineLevel="0" collapsed="false">
      <c r="A161" s="2" t="n">
        <v>160</v>
      </c>
      <c r="B161" s="2" t="s">
        <v>249</v>
      </c>
      <c r="C161" s="2" t="s">
        <v>105</v>
      </c>
      <c r="D161" s="4" t="n">
        <v>90</v>
      </c>
      <c r="E161" s="2" t="n">
        <v>21</v>
      </c>
      <c r="F161" s="5" t="n">
        <v>0.43</v>
      </c>
      <c r="G161" s="2" t="s">
        <v>85</v>
      </c>
      <c r="H161" s="2" t="n">
        <v>60</v>
      </c>
      <c r="I161" s="17" t="n">
        <f aca="false">IFERROR(VLOOKUP(G161,Assumptions!$A$5:$B$10,2,FALSE()),Assumptions!$B$11)</f>
        <v>0.9</v>
      </c>
      <c r="J161" s="18" t="n">
        <f aca="false">D161*(1-E161/100)*I161*H161/100</f>
        <v>38.394</v>
      </c>
    </row>
    <row r="162" customFormat="false" ht="15" hidden="false" customHeight="false" outlineLevel="0" collapsed="false">
      <c r="A162" s="2" t="n">
        <v>161</v>
      </c>
      <c r="B162" s="2" t="s">
        <v>250</v>
      </c>
      <c r="C162" s="2" t="s">
        <v>103</v>
      </c>
      <c r="D162" s="4" t="n">
        <v>50</v>
      </c>
      <c r="E162" s="2" t="n">
        <v>0</v>
      </c>
      <c r="F162" s="5" t="n">
        <v>0.72</v>
      </c>
      <c r="G162" s="2" t="s">
        <v>84</v>
      </c>
      <c r="H162" s="2" t="n">
        <v>76</v>
      </c>
      <c r="I162" s="17" t="n">
        <f aca="false">IFERROR(VLOOKUP(G162,Assumptions!$A$5:$B$10,2,FALSE()),Assumptions!$B$11)</f>
        <v>1</v>
      </c>
      <c r="J162" s="18" t="n">
        <f aca="false">D162*(1-E162/100)*I162*H162/100</f>
        <v>38</v>
      </c>
    </row>
    <row r="163" customFormat="false" ht="15" hidden="false" customHeight="false" outlineLevel="0" collapsed="false">
      <c r="A163" s="2" t="n">
        <v>162</v>
      </c>
      <c r="B163" s="2" t="s">
        <v>251</v>
      </c>
      <c r="C163" s="2" t="s">
        <v>105</v>
      </c>
      <c r="D163" s="4" t="n">
        <v>210</v>
      </c>
      <c r="E163" s="2" t="n">
        <v>21</v>
      </c>
      <c r="F163" s="5" t="n">
        <v>0.85</v>
      </c>
      <c r="G163" s="2" t="s">
        <v>88</v>
      </c>
      <c r="H163" s="2" t="n">
        <v>76</v>
      </c>
      <c r="I163" s="17" t="n">
        <f aca="false">IFERROR(VLOOKUP(G163,Assumptions!$A$5:$B$10,2,FALSE()),Assumptions!$B$11)</f>
        <v>0.3</v>
      </c>
      <c r="J163" s="18" t="n">
        <f aca="false">D163*(1-E163/100)*I163*H163/100</f>
        <v>37.8252</v>
      </c>
    </row>
    <row r="164" customFormat="false" ht="15" hidden="false" customHeight="false" outlineLevel="0" collapsed="false">
      <c r="A164" s="2" t="n">
        <v>163</v>
      </c>
      <c r="B164" s="2" t="s">
        <v>252</v>
      </c>
      <c r="C164" s="2" t="s">
        <v>103</v>
      </c>
      <c r="D164" s="4" t="n">
        <v>90</v>
      </c>
      <c r="E164" s="2" t="n">
        <v>5</v>
      </c>
      <c r="F164" s="5" t="n">
        <v>0.65</v>
      </c>
      <c r="G164" s="2" t="s">
        <v>87</v>
      </c>
      <c r="H164" s="2" t="n">
        <v>63</v>
      </c>
      <c r="I164" s="17" t="n">
        <f aca="false">IFERROR(VLOOKUP(G164,Assumptions!$A$5:$B$10,2,FALSE()),Assumptions!$B$11)</f>
        <v>0.7</v>
      </c>
      <c r="J164" s="18" t="n">
        <f aca="false">D164*(1-E164/100)*I164*H164/100</f>
        <v>37.7055</v>
      </c>
    </row>
    <row r="165" customFormat="false" ht="15" hidden="false" customHeight="false" outlineLevel="0" collapsed="false">
      <c r="A165" s="2" t="n">
        <v>164</v>
      </c>
      <c r="B165" s="2" t="s">
        <v>253</v>
      </c>
      <c r="C165" s="2" t="s">
        <v>105</v>
      </c>
      <c r="D165" s="4" t="n">
        <v>50</v>
      </c>
      <c r="E165" s="2" t="n">
        <v>2</v>
      </c>
      <c r="F165" s="5" t="n">
        <v>0.67</v>
      </c>
      <c r="G165" s="2" t="s">
        <v>84</v>
      </c>
      <c r="H165" s="2" t="n">
        <v>76</v>
      </c>
      <c r="I165" s="17" t="n">
        <f aca="false">IFERROR(VLOOKUP(G165,Assumptions!$A$5:$B$10,2,FALSE()),Assumptions!$B$11)</f>
        <v>1</v>
      </c>
      <c r="J165" s="18" t="n">
        <f aca="false">D165*(1-E165/100)*I165*H165/100</f>
        <v>37.24</v>
      </c>
    </row>
    <row r="166" customFormat="false" ht="15" hidden="false" customHeight="false" outlineLevel="0" collapsed="false">
      <c r="A166" s="2" t="n">
        <v>165</v>
      </c>
      <c r="B166" s="2" t="s">
        <v>254</v>
      </c>
      <c r="C166" s="2" t="s">
        <v>105</v>
      </c>
      <c r="D166" s="4" t="n">
        <v>70</v>
      </c>
      <c r="E166" s="2" t="n">
        <v>9</v>
      </c>
      <c r="F166" s="5" t="n">
        <v>0.36</v>
      </c>
      <c r="G166" s="2" t="s">
        <v>85</v>
      </c>
      <c r="H166" s="2" t="n">
        <v>64</v>
      </c>
      <c r="I166" s="17" t="n">
        <f aca="false">IFERROR(VLOOKUP(G166,Assumptions!$A$5:$B$10,2,FALSE()),Assumptions!$B$11)</f>
        <v>0.9</v>
      </c>
      <c r="J166" s="18" t="n">
        <f aca="false">D166*(1-E166/100)*I166*H166/100</f>
        <v>36.6912</v>
      </c>
    </row>
    <row r="167" customFormat="false" ht="15" hidden="false" customHeight="false" outlineLevel="0" collapsed="false">
      <c r="A167" s="2" t="n">
        <v>166</v>
      </c>
      <c r="B167" s="2" t="s">
        <v>255</v>
      </c>
      <c r="C167" s="2" t="s">
        <v>105</v>
      </c>
      <c r="D167" s="4" t="n">
        <v>50</v>
      </c>
      <c r="E167" s="2" t="n">
        <v>4</v>
      </c>
      <c r="F167" s="5" t="n">
        <v>0.71</v>
      </c>
      <c r="G167" s="2" t="s">
        <v>84</v>
      </c>
      <c r="H167" s="2" t="n">
        <v>76</v>
      </c>
      <c r="I167" s="17" t="n">
        <f aca="false">IFERROR(VLOOKUP(G167,Assumptions!$A$5:$B$10,2,FALSE()),Assumptions!$B$11)</f>
        <v>1</v>
      </c>
      <c r="J167" s="18" t="n">
        <f aca="false">D167*(1-E167/100)*I167*H167/100</f>
        <v>36.48</v>
      </c>
    </row>
    <row r="168" customFormat="false" ht="15" hidden="false" customHeight="false" outlineLevel="0" collapsed="false">
      <c r="A168" s="2" t="n">
        <v>167</v>
      </c>
      <c r="B168" s="2" t="s">
        <v>256</v>
      </c>
      <c r="C168" s="2" t="s">
        <v>103</v>
      </c>
      <c r="D168" s="4" t="n">
        <v>90</v>
      </c>
      <c r="E168" s="2" t="n">
        <v>31</v>
      </c>
      <c r="F168" s="5" t="n">
        <v>0.53</v>
      </c>
      <c r="G168" s="2" t="s">
        <v>85</v>
      </c>
      <c r="H168" s="2" t="n">
        <v>65</v>
      </c>
      <c r="I168" s="17" t="n">
        <f aca="false">IFERROR(VLOOKUP(G168,Assumptions!$A$5:$B$10,2,FALSE()),Assumptions!$B$11)</f>
        <v>0.9</v>
      </c>
      <c r="J168" s="18" t="n">
        <f aca="false">D168*(1-E168/100)*I168*H168/100</f>
        <v>36.3285</v>
      </c>
    </row>
    <row r="169" customFormat="false" ht="15" hidden="false" customHeight="false" outlineLevel="0" collapsed="false">
      <c r="A169" s="2" t="n">
        <v>168</v>
      </c>
      <c r="B169" s="2" t="s">
        <v>257</v>
      </c>
      <c r="C169" s="2" t="s">
        <v>105</v>
      </c>
      <c r="D169" s="4" t="n">
        <v>70</v>
      </c>
      <c r="E169" s="2" t="n">
        <v>13</v>
      </c>
      <c r="F169" s="5" t="n">
        <v>0.83</v>
      </c>
      <c r="G169" s="2" t="s">
        <v>85</v>
      </c>
      <c r="H169" s="2" t="n">
        <v>66</v>
      </c>
      <c r="I169" s="17" t="n">
        <f aca="false">IFERROR(VLOOKUP(G169,Assumptions!$A$5:$B$10,2,FALSE()),Assumptions!$B$11)</f>
        <v>0.9</v>
      </c>
      <c r="J169" s="18" t="n">
        <f aca="false">D169*(1-E169/100)*I169*H169/100</f>
        <v>36.1746</v>
      </c>
    </row>
    <row r="170" customFormat="false" ht="15" hidden="false" customHeight="false" outlineLevel="0" collapsed="false">
      <c r="A170" s="2" t="n">
        <v>169</v>
      </c>
      <c r="B170" s="2" t="s">
        <v>258</v>
      </c>
      <c r="C170" s="2" t="s">
        <v>105</v>
      </c>
      <c r="D170" s="4" t="n">
        <v>90</v>
      </c>
      <c r="E170" s="2" t="n">
        <v>13</v>
      </c>
      <c r="F170" s="5" t="n">
        <v>0.92</v>
      </c>
      <c r="G170" s="2" t="s">
        <v>87</v>
      </c>
      <c r="H170" s="2" t="n">
        <v>66</v>
      </c>
      <c r="I170" s="17" t="n">
        <f aca="false">IFERROR(VLOOKUP(G170,Assumptions!$A$5:$B$10,2,FALSE()),Assumptions!$B$11)</f>
        <v>0.7</v>
      </c>
      <c r="J170" s="18" t="n">
        <f aca="false">D170*(1-E170/100)*I170*H170/100</f>
        <v>36.1746</v>
      </c>
    </row>
    <row r="171" customFormat="false" ht="15" hidden="false" customHeight="false" outlineLevel="0" collapsed="false">
      <c r="A171" s="2" t="n">
        <v>170</v>
      </c>
      <c r="B171" s="2" t="s">
        <v>259</v>
      </c>
      <c r="C171" s="2" t="s">
        <v>105</v>
      </c>
      <c r="D171" s="4" t="n">
        <v>50</v>
      </c>
      <c r="E171" s="2" t="n">
        <v>5</v>
      </c>
      <c r="F171" s="5" t="n">
        <v>0.42</v>
      </c>
      <c r="G171" s="2" t="s">
        <v>84</v>
      </c>
      <c r="H171" s="2" t="n">
        <v>76</v>
      </c>
      <c r="I171" s="17" t="n">
        <f aca="false">IFERROR(VLOOKUP(G171,Assumptions!$A$5:$B$10,2,FALSE()),Assumptions!$B$11)</f>
        <v>1</v>
      </c>
      <c r="J171" s="18" t="n">
        <f aca="false">D171*(1-E171/100)*I171*H171/100</f>
        <v>36.1</v>
      </c>
    </row>
    <row r="172" customFormat="false" ht="15" hidden="false" customHeight="false" outlineLevel="0" collapsed="false">
      <c r="A172" s="2" t="n">
        <v>171</v>
      </c>
      <c r="B172" s="2" t="s">
        <v>260</v>
      </c>
      <c r="C172" s="2" t="s">
        <v>105</v>
      </c>
      <c r="D172" s="4" t="n">
        <v>50</v>
      </c>
      <c r="E172" s="2" t="n">
        <v>5</v>
      </c>
      <c r="F172" s="5" t="n">
        <v>0.71</v>
      </c>
      <c r="G172" s="2" t="s">
        <v>84</v>
      </c>
      <c r="H172" s="2" t="n">
        <v>76</v>
      </c>
      <c r="I172" s="17" t="n">
        <f aca="false">IFERROR(VLOOKUP(G172,Assumptions!$A$5:$B$10,2,FALSE()),Assumptions!$B$11)</f>
        <v>1</v>
      </c>
      <c r="J172" s="18" t="n">
        <f aca="false">D172*(1-E172/100)*I172*H172/100</f>
        <v>36.1</v>
      </c>
    </row>
    <row r="173" customFormat="false" ht="15" hidden="false" customHeight="false" outlineLevel="0" collapsed="false">
      <c r="A173" s="2" t="n">
        <v>172</v>
      </c>
      <c r="B173" s="2" t="s">
        <v>261</v>
      </c>
      <c r="C173" s="2" t="s">
        <v>103</v>
      </c>
      <c r="D173" s="4" t="n">
        <v>70</v>
      </c>
      <c r="E173" s="2" t="n">
        <v>26</v>
      </c>
      <c r="F173" s="5" t="n">
        <v>0.45</v>
      </c>
      <c r="G173" s="2" t="s">
        <v>85</v>
      </c>
      <c r="H173" s="2" t="n">
        <v>76</v>
      </c>
      <c r="I173" s="17" t="n">
        <f aca="false">IFERROR(VLOOKUP(G173,Assumptions!$A$5:$B$10,2,FALSE()),Assumptions!$B$11)</f>
        <v>0.9</v>
      </c>
      <c r="J173" s="18" t="n">
        <f aca="false">D173*(1-E173/100)*I173*H173/100</f>
        <v>35.4312</v>
      </c>
    </row>
    <row r="174" customFormat="false" ht="15" hidden="false" customHeight="false" outlineLevel="0" collapsed="false">
      <c r="A174" s="2" t="n">
        <v>173</v>
      </c>
      <c r="B174" s="2" t="s">
        <v>262</v>
      </c>
      <c r="C174" s="2" t="s">
        <v>105</v>
      </c>
      <c r="D174" s="4" t="n">
        <v>90</v>
      </c>
      <c r="E174" s="2" t="n">
        <v>41</v>
      </c>
      <c r="F174" s="5" t="n">
        <v>0.83</v>
      </c>
      <c r="G174" s="2" t="s">
        <v>85</v>
      </c>
      <c r="H174" s="2" t="n">
        <v>74</v>
      </c>
      <c r="I174" s="17" t="n">
        <f aca="false">IFERROR(VLOOKUP(G174,Assumptions!$A$5:$B$10,2,FALSE()),Assumptions!$B$11)</f>
        <v>0.9</v>
      </c>
      <c r="J174" s="18" t="n">
        <f aca="false">D174*(1-E174/100)*I174*H174/100</f>
        <v>35.3646</v>
      </c>
    </row>
    <row r="175" customFormat="false" ht="15" hidden="false" customHeight="false" outlineLevel="0" collapsed="false">
      <c r="A175" s="2" t="n">
        <v>174</v>
      </c>
      <c r="B175" s="2" t="s">
        <v>263</v>
      </c>
      <c r="C175" s="2" t="s">
        <v>105</v>
      </c>
      <c r="D175" s="4" t="n">
        <v>50</v>
      </c>
      <c r="E175" s="2" t="n">
        <v>7</v>
      </c>
      <c r="F175" s="5" t="n">
        <v>0.76</v>
      </c>
      <c r="G175" s="2" t="s">
        <v>84</v>
      </c>
      <c r="H175" s="2" t="n">
        <v>76</v>
      </c>
      <c r="I175" s="17" t="n">
        <f aca="false">IFERROR(VLOOKUP(G175,Assumptions!$A$5:$B$10,2,FALSE()),Assumptions!$B$11)</f>
        <v>1</v>
      </c>
      <c r="J175" s="18" t="n">
        <f aca="false">D175*(1-E175/100)*I175*H175/100</f>
        <v>35.34</v>
      </c>
    </row>
    <row r="176" customFormat="false" ht="15" hidden="false" customHeight="false" outlineLevel="0" collapsed="false">
      <c r="A176" s="2" t="n">
        <v>175</v>
      </c>
      <c r="B176" s="2" t="s">
        <v>264</v>
      </c>
      <c r="C176" s="2" t="s">
        <v>103</v>
      </c>
      <c r="D176" s="4" t="n">
        <v>70</v>
      </c>
      <c r="E176" s="2" t="n">
        <v>5</v>
      </c>
      <c r="F176" s="5" t="n">
        <v>0.63</v>
      </c>
      <c r="G176" s="2" t="s">
        <v>85</v>
      </c>
      <c r="H176" s="2" t="n">
        <v>59</v>
      </c>
      <c r="I176" s="17" t="n">
        <f aca="false">IFERROR(VLOOKUP(G176,Assumptions!$A$5:$B$10,2,FALSE()),Assumptions!$B$11)</f>
        <v>0.9</v>
      </c>
      <c r="J176" s="18" t="n">
        <f aca="false">D176*(1-E176/100)*I176*H176/100</f>
        <v>35.3115</v>
      </c>
    </row>
    <row r="177" customFormat="false" ht="15" hidden="false" customHeight="false" outlineLevel="0" collapsed="false">
      <c r="A177" s="2" t="n">
        <v>176</v>
      </c>
      <c r="B177" s="2" t="s">
        <v>265</v>
      </c>
      <c r="C177" s="2" t="s">
        <v>105</v>
      </c>
      <c r="D177" s="4" t="n">
        <v>50</v>
      </c>
      <c r="E177" s="2" t="n">
        <v>0</v>
      </c>
      <c r="F177" s="5" t="n">
        <v>0.82</v>
      </c>
      <c r="G177" s="2" t="s">
        <v>84</v>
      </c>
      <c r="H177" s="2" t="n">
        <v>69</v>
      </c>
      <c r="I177" s="17" t="n">
        <f aca="false">IFERROR(VLOOKUP(G177,Assumptions!$A$5:$B$10,2,FALSE()),Assumptions!$B$11)</f>
        <v>1</v>
      </c>
      <c r="J177" s="18" t="n">
        <f aca="false">D177*(1-E177/100)*I177*H177/100</f>
        <v>34.5</v>
      </c>
    </row>
    <row r="178" customFormat="false" ht="15" hidden="false" customHeight="false" outlineLevel="0" collapsed="false">
      <c r="A178" s="2" t="n">
        <v>177</v>
      </c>
      <c r="B178" s="2" t="s">
        <v>266</v>
      </c>
      <c r="C178" s="2" t="s">
        <v>103</v>
      </c>
      <c r="D178" s="4" t="n">
        <v>50</v>
      </c>
      <c r="E178" s="2" t="n">
        <v>9</v>
      </c>
      <c r="F178" s="5" t="n">
        <v>0.42</v>
      </c>
      <c r="G178" s="2" t="s">
        <v>85</v>
      </c>
      <c r="H178" s="2" t="n">
        <v>84</v>
      </c>
      <c r="I178" s="17" t="n">
        <f aca="false">IFERROR(VLOOKUP(G178,Assumptions!$A$5:$B$10,2,FALSE()),Assumptions!$B$11)</f>
        <v>0.9</v>
      </c>
      <c r="J178" s="18" t="n">
        <f aca="false">D178*(1-E178/100)*I178*H178/100</f>
        <v>34.398</v>
      </c>
    </row>
    <row r="179" customFormat="false" ht="15" hidden="false" customHeight="false" outlineLevel="0" collapsed="false">
      <c r="A179" s="2" t="n">
        <v>178</v>
      </c>
      <c r="B179" s="2" t="s">
        <v>267</v>
      </c>
      <c r="C179" s="2" t="s">
        <v>105</v>
      </c>
      <c r="D179" s="4" t="n">
        <v>70</v>
      </c>
      <c r="E179" s="2" t="n">
        <v>15</v>
      </c>
      <c r="F179" s="5" t="n">
        <v>0.34</v>
      </c>
      <c r="G179" s="2" t="s">
        <v>85</v>
      </c>
      <c r="H179" s="2" t="n">
        <v>64</v>
      </c>
      <c r="I179" s="17" t="n">
        <f aca="false">IFERROR(VLOOKUP(G179,Assumptions!$A$5:$B$10,2,FALSE()),Assumptions!$B$11)</f>
        <v>0.9</v>
      </c>
      <c r="J179" s="18" t="n">
        <f aca="false">D179*(1-E179/100)*I179*H179/100</f>
        <v>34.272</v>
      </c>
    </row>
    <row r="180" customFormat="false" ht="15" hidden="false" customHeight="false" outlineLevel="0" collapsed="false">
      <c r="A180" s="2" t="n">
        <v>179</v>
      </c>
      <c r="B180" s="2" t="s">
        <v>268</v>
      </c>
      <c r="C180" s="2" t="s">
        <v>103</v>
      </c>
      <c r="D180" s="4" t="n">
        <v>50</v>
      </c>
      <c r="E180" s="2" t="n">
        <v>10</v>
      </c>
      <c r="F180" s="5" t="n">
        <v>0.42</v>
      </c>
      <c r="G180" s="2" t="s">
        <v>84</v>
      </c>
      <c r="H180" s="2" t="n">
        <v>76</v>
      </c>
      <c r="I180" s="17" t="n">
        <f aca="false">IFERROR(VLOOKUP(G180,Assumptions!$A$5:$B$10,2,FALSE()),Assumptions!$B$11)</f>
        <v>1</v>
      </c>
      <c r="J180" s="18" t="n">
        <f aca="false">D180*(1-E180/100)*I180*H180/100</f>
        <v>34.2</v>
      </c>
    </row>
    <row r="181" customFormat="false" ht="15" hidden="false" customHeight="false" outlineLevel="0" collapsed="false">
      <c r="A181" s="2" t="n">
        <v>180</v>
      </c>
      <c r="B181" s="2" t="s">
        <v>269</v>
      </c>
      <c r="C181" s="2" t="s">
        <v>103</v>
      </c>
      <c r="D181" s="4" t="n">
        <v>50</v>
      </c>
      <c r="E181" s="2" t="n">
        <v>1</v>
      </c>
      <c r="F181" s="5" t="n">
        <v>0.62</v>
      </c>
      <c r="G181" s="2" t="s">
        <v>85</v>
      </c>
      <c r="H181" s="2" t="n">
        <v>76</v>
      </c>
      <c r="I181" s="17" t="n">
        <f aca="false">IFERROR(VLOOKUP(G181,Assumptions!$A$5:$B$10,2,FALSE()),Assumptions!$B$11)</f>
        <v>0.9</v>
      </c>
      <c r="J181" s="18" t="n">
        <f aca="false">D181*(1-E181/100)*I181*H181/100</f>
        <v>33.858</v>
      </c>
    </row>
    <row r="182" customFormat="false" ht="15" hidden="false" customHeight="false" outlineLevel="0" collapsed="false">
      <c r="A182" s="2" t="n">
        <v>181</v>
      </c>
      <c r="B182" s="2" t="s">
        <v>270</v>
      </c>
      <c r="C182" s="2" t="s">
        <v>103</v>
      </c>
      <c r="D182" s="4" t="n">
        <v>50</v>
      </c>
      <c r="E182" s="2" t="n">
        <v>6</v>
      </c>
      <c r="F182" s="5" t="n">
        <v>0.43</v>
      </c>
      <c r="G182" s="2" t="s">
        <v>84</v>
      </c>
      <c r="H182" s="2" t="n">
        <v>72</v>
      </c>
      <c r="I182" s="17" t="n">
        <f aca="false">IFERROR(VLOOKUP(G182,Assumptions!$A$5:$B$10,2,FALSE()),Assumptions!$B$11)</f>
        <v>1</v>
      </c>
      <c r="J182" s="18" t="n">
        <f aca="false">D182*(1-E182/100)*I182*H182/100</f>
        <v>33.84</v>
      </c>
    </row>
    <row r="183" customFormat="false" ht="15" hidden="false" customHeight="false" outlineLevel="0" collapsed="false">
      <c r="A183" s="2" t="n">
        <v>182</v>
      </c>
      <c r="B183" s="2" t="s">
        <v>271</v>
      </c>
      <c r="C183" s="2" t="s">
        <v>103</v>
      </c>
      <c r="D183" s="4" t="n">
        <v>70</v>
      </c>
      <c r="E183" s="2" t="n">
        <v>6</v>
      </c>
      <c r="F183" s="5" t="n">
        <v>0.41</v>
      </c>
      <c r="G183" s="2" t="s">
        <v>86</v>
      </c>
      <c r="H183" s="2" t="n">
        <v>64</v>
      </c>
      <c r="I183" s="17" t="n">
        <f aca="false">IFERROR(VLOOKUP(G183,Assumptions!$A$5:$B$10,2,FALSE()),Assumptions!$B$11)</f>
        <v>0.8</v>
      </c>
      <c r="J183" s="18" t="n">
        <f aca="false">D183*(1-E183/100)*I183*H183/100</f>
        <v>33.6896</v>
      </c>
    </row>
    <row r="184" customFormat="false" ht="15" hidden="false" customHeight="false" outlineLevel="0" collapsed="false">
      <c r="A184" s="2" t="n">
        <v>183</v>
      </c>
      <c r="B184" s="2" t="s">
        <v>272</v>
      </c>
      <c r="C184" s="2" t="s">
        <v>105</v>
      </c>
      <c r="D184" s="4" t="n">
        <v>70</v>
      </c>
      <c r="E184" s="2" t="n">
        <v>17</v>
      </c>
      <c r="F184" s="5" t="n">
        <v>0.79</v>
      </c>
      <c r="G184" s="2" t="s">
        <v>85</v>
      </c>
      <c r="H184" s="2" t="n">
        <v>64</v>
      </c>
      <c r="I184" s="17" t="n">
        <f aca="false">IFERROR(VLOOKUP(G184,Assumptions!$A$5:$B$10,2,FALSE()),Assumptions!$B$11)</f>
        <v>0.9</v>
      </c>
      <c r="J184" s="18" t="n">
        <f aca="false">D184*(1-E184/100)*I184*H184/100</f>
        <v>33.4656</v>
      </c>
    </row>
    <row r="185" customFormat="false" ht="15" hidden="false" customHeight="false" outlineLevel="0" collapsed="false">
      <c r="A185" s="2" t="n">
        <v>184</v>
      </c>
      <c r="B185" s="2" t="s">
        <v>273</v>
      </c>
      <c r="C185" s="2" t="s">
        <v>103</v>
      </c>
      <c r="D185" s="4" t="n">
        <v>50</v>
      </c>
      <c r="E185" s="2" t="n">
        <v>4</v>
      </c>
      <c r="F185" s="5" t="n">
        <v>0</v>
      </c>
      <c r="G185" s="2" t="s">
        <v>85</v>
      </c>
      <c r="H185" s="2" t="n">
        <v>76</v>
      </c>
      <c r="I185" s="17" t="n">
        <f aca="false">IFERROR(VLOOKUP(G185,Assumptions!$A$5:$B$10,2,FALSE()),Assumptions!$B$11)</f>
        <v>0.9</v>
      </c>
      <c r="J185" s="18" t="n">
        <f aca="false">D185*(1-E185/100)*I185*H185/100</f>
        <v>32.832</v>
      </c>
    </row>
    <row r="186" customFormat="false" ht="15" hidden="false" customHeight="false" outlineLevel="0" collapsed="false">
      <c r="A186" s="2" t="n">
        <v>185</v>
      </c>
      <c r="B186" s="2" t="s">
        <v>274</v>
      </c>
      <c r="C186" s="2" t="s">
        <v>103</v>
      </c>
      <c r="D186" s="4" t="n">
        <v>70</v>
      </c>
      <c r="E186" s="2" t="n">
        <v>2</v>
      </c>
      <c r="F186" s="5" t="n">
        <v>2.76</v>
      </c>
      <c r="G186" s="2" t="s">
        <v>87</v>
      </c>
      <c r="H186" s="2" t="n">
        <v>67</v>
      </c>
      <c r="I186" s="17" t="n">
        <f aca="false">IFERROR(VLOOKUP(G186,Assumptions!$A$5:$B$10,2,FALSE()),Assumptions!$B$11)</f>
        <v>0.7</v>
      </c>
      <c r="J186" s="18" t="n">
        <f aca="false">D186*(1-E186/100)*I186*H186/100</f>
        <v>32.1734</v>
      </c>
    </row>
    <row r="187" customFormat="false" ht="15" hidden="false" customHeight="false" outlineLevel="0" collapsed="false">
      <c r="A187" s="2" t="n">
        <v>186</v>
      </c>
      <c r="B187" s="2" t="s">
        <v>275</v>
      </c>
      <c r="C187" s="2" t="s">
        <v>105</v>
      </c>
      <c r="D187" s="4" t="n">
        <v>50</v>
      </c>
      <c r="E187" s="2" t="n">
        <v>5</v>
      </c>
      <c r="F187" s="5" t="n">
        <v>0.65</v>
      </c>
      <c r="G187" s="2" t="s">
        <v>85</v>
      </c>
      <c r="H187" s="2" t="n">
        <v>73</v>
      </c>
      <c r="I187" s="17" t="n">
        <f aca="false">IFERROR(VLOOKUP(G187,Assumptions!$A$5:$B$10,2,FALSE()),Assumptions!$B$11)</f>
        <v>0.9</v>
      </c>
      <c r="J187" s="18" t="n">
        <f aca="false">D187*(1-E187/100)*I187*H187/100</f>
        <v>31.2075</v>
      </c>
    </row>
    <row r="188" customFormat="false" ht="15" hidden="false" customHeight="false" outlineLevel="0" collapsed="false">
      <c r="A188" s="2" t="n">
        <v>187</v>
      </c>
      <c r="B188" s="2" t="s">
        <v>276</v>
      </c>
      <c r="C188" s="2" t="s">
        <v>103</v>
      </c>
      <c r="D188" s="4" t="n">
        <v>50</v>
      </c>
      <c r="E188" s="2" t="n">
        <v>18</v>
      </c>
      <c r="F188" s="5" t="n">
        <v>0.58</v>
      </c>
      <c r="G188" s="2" t="s">
        <v>84</v>
      </c>
      <c r="H188" s="2" t="n">
        <v>76</v>
      </c>
      <c r="I188" s="17" t="n">
        <f aca="false">IFERROR(VLOOKUP(G188,Assumptions!$A$5:$B$10,2,FALSE()),Assumptions!$B$11)</f>
        <v>1</v>
      </c>
      <c r="J188" s="18" t="n">
        <f aca="false">D188*(1-E188/100)*I188*H188/100</f>
        <v>31.16</v>
      </c>
    </row>
    <row r="189" customFormat="false" ht="15" hidden="false" customHeight="false" outlineLevel="0" collapsed="false">
      <c r="A189" s="2" t="n">
        <v>188</v>
      </c>
      <c r="B189" s="2" t="s">
        <v>277</v>
      </c>
      <c r="C189" s="2" t="s">
        <v>105</v>
      </c>
      <c r="D189" s="4" t="n">
        <v>50</v>
      </c>
      <c r="E189" s="2" t="n">
        <v>9</v>
      </c>
      <c r="F189" s="5" t="n">
        <v>0.86</v>
      </c>
      <c r="G189" s="2" t="s">
        <v>85</v>
      </c>
      <c r="H189" s="2" t="n">
        <v>76</v>
      </c>
      <c r="I189" s="17" t="n">
        <f aca="false">IFERROR(VLOOKUP(G189,Assumptions!$A$5:$B$10,2,FALSE()),Assumptions!$B$11)</f>
        <v>0.9</v>
      </c>
      <c r="J189" s="18" t="n">
        <f aca="false">D189*(1-E189/100)*I189*H189/100</f>
        <v>31.122</v>
      </c>
    </row>
    <row r="190" customFormat="false" ht="15" hidden="false" customHeight="false" outlineLevel="0" collapsed="false">
      <c r="A190" s="2" t="n">
        <v>189</v>
      </c>
      <c r="B190" s="2" t="s">
        <v>278</v>
      </c>
      <c r="C190" s="2" t="s">
        <v>103</v>
      </c>
      <c r="D190" s="4" t="n">
        <v>50</v>
      </c>
      <c r="E190" s="2" t="n">
        <v>7</v>
      </c>
      <c r="F190" s="5" t="n">
        <v>0.46</v>
      </c>
      <c r="G190" s="2" t="s">
        <v>85</v>
      </c>
      <c r="H190" s="2" t="n">
        <v>73</v>
      </c>
      <c r="I190" s="17" t="n">
        <f aca="false">IFERROR(VLOOKUP(G190,Assumptions!$A$5:$B$10,2,FALSE()),Assumptions!$B$11)</f>
        <v>0.9</v>
      </c>
      <c r="J190" s="18" t="n">
        <f aca="false">D190*(1-E190/100)*I190*H190/100</f>
        <v>30.5505</v>
      </c>
    </row>
    <row r="191" customFormat="false" ht="15" hidden="false" customHeight="false" outlineLevel="0" collapsed="false">
      <c r="A191" s="2" t="n">
        <v>190</v>
      </c>
      <c r="B191" s="2" t="s">
        <v>279</v>
      </c>
      <c r="C191" s="2" t="s">
        <v>103</v>
      </c>
      <c r="D191" s="4" t="n">
        <v>50</v>
      </c>
      <c r="E191" s="2" t="n">
        <v>11</v>
      </c>
      <c r="F191" s="5" t="n">
        <v>0.28</v>
      </c>
      <c r="G191" s="2" t="s">
        <v>85</v>
      </c>
      <c r="H191" s="2" t="n">
        <v>76</v>
      </c>
      <c r="I191" s="17" t="n">
        <f aca="false">IFERROR(VLOOKUP(G191,Assumptions!$A$5:$B$10,2,FALSE()),Assumptions!$B$11)</f>
        <v>0.9</v>
      </c>
      <c r="J191" s="18" t="n">
        <f aca="false">D191*(1-E191/100)*I191*H191/100</f>
        <v>30.438</v>
      </c>
    </row>
    <row r="192" customFormat="false" ht="15" hidden="false" customHeight="false" outlineLevel="0" collapsed="false">
      <c r="A192" s="2" t="n">
        <v>191</v>
      </c>
      <c r="B192" s="2" t="s">
        <v>280</v>
      </c>
      <c r="C192" s="2" t="s">
        <v>105</v>
      </c>
      <c r="D192" s="4" t="n">
        <v>50</v>
      </c>
      <c r="E192" s="2" t="n">
        <v>11</v>
      </c>
      <c r="F192" s="5" t="n">
        <v>0.48</v>
      </c>
      <c r="G192" s="2" t="s">
        <v>85</v>
      </c>
      <c r="H192" s="2" t="n">
        <v>76</v>
      </c>
      <c r="I192" s="17" t="n">
        <f aca="false">IFERROR(VLOOKUP(G192,Assumptions!$A$5:$B$10,2,FALSE()),Assumptions!$B$11)</f>
        <v>0.9</v>
      </c>
      <c r="J192" s="18" t="n">
        <f aca="false">D192*(1-E192/100)*I192*H192/100</f>
        <v>30.438</v>
      </c>
    </row>
    <row r="193" customFormat="false" ht="15" hidden="false" customHeight="false" outlineLevel="0" collapsed="false">
      <c r="A193" s="2" t="n">
        <v>192</v>
      </c>
      <c r="B193" s="2" t="s">
        <v>281</v>
      </c>
      <c r="C193" s="2" t="s">
        <v>103</v>
      </c>
      <c r="D193" s="4" t="n">
        <v>70</v>
      </c>
      <c r="E193" s="2" t="n">
        <v>28</v>
      </c>
      <c r="F193" s="5" t="n">
        <v>0.4</v>
      </c>
      <c r="G193" s="2" t="s">
        <v>85</v>
      </c>
      <c r="H193" s="2" t="n">
        <v>67</v>
      </c>
      <c r="I193" s="17" t="n">
        <f aca="false">IFERROR(VLOOKUP(G193,Assumptions!$A$5:$B$10,2,FALSE()),Assumptions!$B$11)</f>
        <v>0.9</v>
      </c>
      <c r="J193" s="18" t="n">
        <f aca="false">D193*(1-E193/100)*I193*H193/100</f>
        <v>30.3912</v>
      </c>
    </row>
    <row r="194" customFormat="false" ht="15" hidden="false" customHeight="false" outlineLevel="0" collapsed="false">
      <c r="A194" s="2" t="n">
        <v>193</v>
      </c>
      <c r="B194" s="2" t="s">
        <v>282</v>
      </c>
      <c r="C194" s="2" t="s">
        <v>105</v>
      </c>
      <c r="D194" s="4" t="n">
        <v>70</v>
      </c>
      <c r="E194" s="2" t="n">
        <v>17</v>
      </c>
      <c r="F194" s="5" t="n">
        <v>0</v>
      </c>
      <c r="G194" s="2" t="s">
        <v>86</v>
      </c>
      <c r="H194" s="2" t="n">
        <v>64</v>
      </c>
      <c r="I194" s="17" t="n">
        <f aca="false">IFERROR(VLOOKUP(G194,Assumptions!$A$5:$B$10,2,FALSE()),Assumptions!$B$11)</f>
        <v>0.8</v>
      </c>
      <c r="J194" s="18" t="n">
        <f aca="false">D194*(1-E194/100)*I194*H194/100</f>
        <v>29.7472</v>
      </c>
    </row>
    <row r="195" customFormat="false" ht="15" hidden="false" customHeight="false" outlineLevel="0" collapsed="false">
      <c r="A195" s="2" t="n">
        <v>194</v>
      </c>
      <c r="B195" s="2" t="s">
        <v>283</v>
      </c>
      <c r="C195" s="2" t="s">
        <v>103</v>
      </c>
      <c r="D195" s="4" t="n">
        <v>50</v>
      </c>
      <c r="E195" s="2" t="n">
        <v>11</v>
      </c>
      <c r="F195" s="5" t="n">
        <v>0.41</v>
      </c>
      <c r="G195" s="2" t="s">
        <v>85</v>
      </c>
      <c r="H195" s="2" t="n">
        <v>74</v>
      </c>
      <c r="I195" s="17" t="n">
        <f aca="false">IFERROR(VLOOKUP(G195,Assumptions!$A$5:$B$10,2,FALSE()),Assumptions!$B$11)</f>
        <v>0.9</v>
      </c>
      <c r="J195" s="18" t="n">
        <f aca="false">D195*(1-E195/100)*I195*H195/100</f>
        <v>29.637</v>
      </c>
    </row>
    <row r="196" customFormat="false" ht="15" hidden="false" customHeight="false" outlineLevel="0" collapsed="false">
      <c r="A196" s="2" t="n">
        <v>195</v>
      </c>
      <c r="B196" s="2" t="s">
        <v>284</v>
      </c>
      <c r="C196" s="2" t="s">
        <v>105</v>
      </c>
      <c r="D196" s="4" t="n">
        <v>70</v>
      </c>
      <c r="E196" s="2" t="n">
        <v>28</v>
      </c>
      <c r="F196" s="5" t="n">
        <v>0.83</v>
      </c>
      <c r="G196" s="2" t="s">
        <v>85</v>
      </c>
      <c r="H196" s="2" t="n">
        <v>65</v>
      </c>
      <c r="I196" s="17" t="n">
        <f aca="false">IFERROR(VLOOKUP(G196,Assumptions!$A$5:$B$10,2,FALSE()),Assumptions!$B$11)</f>
        <v>0.9</v>
      </c>
      <c r="J196" s="18" t="n">
        <f aca="false">D196*(1-E196/100)*I196*H196/100</f>
        <v>29.484</v>
      </c>
    </row>
    <row r="197" customFormat="false" ht="15" hidden="false" customHeight="false" outlineLevel="0" collapsed="false">
      <c r="A197" s="2" t="n">
        <v>196</v>
      </c>
      <c r="B197" s="2" t="s">
        <v>285</v>
      </c>
      <c r="C197" s="2" t="s">
        <v>103</v>
      </c>
      <c r="D197" s="4" t="n">
        <v>70</v>
      </c>
      <c r="E197" s="2" t="n">
        <v>6</v>
      </c>
      <c r="F197" s="5" t="n">
        <v>0.43</v>
      </c>
      <c r="G197" s="2" t="s">
        <v>87</v>
      </c>
      <c r="H197" s="2" t="n">
        <v>64</v>
      </c>
      <c r="I197" s="17" t="n">
        <f aca="false">IFERROR(VLOOKUP(G197,Assumptions!$A$5:$B$10,2,FALSE()),Assumptions!$B$11)</f>
        <v>0.7</v>
      </c>
      <c r="J197" s="18" t="n">
        <f aca="false">D197*(1-E197/100)*I197*H197/100</f>
        <v>29.4784</v>
      </c>
    </row>
    <row r="198" customFormat="false" ht="15" hidden="false" customHeight="false" outlineLevel="0" collapsed="false">
      <c r="A198" s="2" t="n">
        <v>197</v>
      </c>
      <c r="B198" s="2" t="s">
        <v>286</v>
      </c>
      <c r="C198" s="2" t="s">
        <v>105</v>
      </c>
      <c r="D198" s="4" t="n">
        <v>50</v>
      </c>
      <c r="E198" s="2" t="n">
        <v>6</v>
      </c>
      <c r="F198" s="5" t="n">
        <v>0.76</v>
      </c>
      <c r="G198" s="2" t="s">
        <v>85</v>
      </c>
      <c r="H198" s="2" t="n">
        <v>69</v>
      </c>
      <c r="I198" s="17" t="n">
        <f aca="false">IFERROR(VLOOKUP(G198,Assumptions!$A$5:$B$10,2,FALSE()),Assumptions!$B$11)</f>
        <v>0.9</v>
      </c>
      <c r="J198" s="18" t="n">
        <f aca="false">D198*(1-E198/100)*I198*H198/100</f>
        <v>29.187</v>
      </c>
    </row>
    <row r="199" customFormat="false" ht="15" hidden="false" customHeight="false" outlineLevel="0" collapsed="false">
      <c r="A199" s="2" t="n">
        <v>198</v>
      </c>
      <c r="B199" s="2" t="s">
        <v>287</v>
      </c>
      <c r="C199" s="2" t="s">
        <v>103</v>
      </c>
      <c r="D199" s="4" t="n">
        <v>50</v>
      </c>
      <c r="E199" s="2" t="n">
        <v>17</v>
      </c>
      <c r="F199" s="5" t="n">
        <v>0</v>
      </c>
      <c r="G199" s="2" t="s">
        <v>85</v>
      </c>
      <c r="H199" s="2" t="n">
        <v>76</v>
      </c>
      <c r="I199" s="17" t="n">
        <f aca="false">IFERROR(VLOOKUP(G199,Assumptions!$A$5:$B$10,2,FALSE()),Assumptions!$B$11)</f>
        <v>0.9</v>
      </c>
      <c r="J199" s="18" t="n">
        <f aca="false">D199*(1-E199/100)*I199*H199/100</f>
        <v>28.386</v>
      </c>
    </row>
    <row r="200" customFormat="false" ht="15" hidden="false" customHeight="false" outlineLevel="0" collapsed="false">
      <c r="A200" s="2" t="n">
        <v>199</v>
      </c>
      <c r="B200" s="2" t="s">
        <v>288</v>
      </c>
      <c r="C200" s="2" t="s">
        <v>103</v>
      </c>
      <c r="D200" s="4" t="n">
        <v>70</v>
      </c>
      <c r="E200" s="2" t="n">
        <v>25</v>
      </c>
      <c r="F200" s="5" t="n">
        <v>0.36</v>
      </c>
      <c r="G200" s="2" t="s">
        <v>85</v>
      </c>
      <c r="H200" s="2" t="n">
        <v>60</v>
      </c>
      <c r="I200" s="17" t="n">
        <f aca="false">IFERROR(VLOOKUP(G200,Assumptions!$A$5:$B$10,2,FALSE()),Assumptions!$B$11)</f>
        <v>0.9</v>
      </c>
      <c r="J200" s="18" t="n">
        <f aca="false">D200*(1-E200/100)*I200*H200/100</f>
        <v>28.35</v>
      </c>
    </row>
    <row r="201" customFormat="false" ht="15" hidden="false" customHeight="false" outlineLevel="0" collapsed="false">
      <c r="A201" s="2" t="n">
        <v>200</v>
      </c>
      <c r="B201" s="2" t="s">
        <v>289</v>
      </c>
      <c r="C201" s="2" t="s">
        <v>103</v>
      </c>
      <c r="D201" s="4" t="n">
        <v>50</v>
      </c>
      <c r="E201" s="2" t="n">
        <v>18</v>
      </c>
      <c r="F201" s="5" t="n">
        <v>0.38</v>
      </c>
      <c r="G201" s="2" t="s">
        <v>85</v>
      </c>
      <c r="H201" s="2" t="n">
        <v>76</v>
      </c>
      <c r="I201" s="17" t="n">
        <f aca="false">IFERROR(VLOOKUP(G201,Assumptions!$A$5:$B$10,2,FALSE()),Assumptions!$B$11)</f>
        <v>0.9</v>
      </c>
      <c r="J201" s="18" t="n">
        <f aca="false">D201*(1-E201/100)*I201*H201/100</f>
        <v>28.044</v>
      </c>
    </row>
  </sheetData>
  <autoFilter ref="A1:J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1" t="s">
        <v>44</v>
      </c>
      <c r="B1" s="1" t="s">
        <v>1</v>
      </c>
      <c r="C1" s="1" t="s">
        <v>99</v>
      </c>
      <c r="D1" s="1" t="s">
        <v>100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2" t="s">
        <v>67</v>
      </c>
      <c r="B2" s="2" t="s">
        <v>69</v>
      </c>
      <c r="C2" s="2" t="s">
        <v>103</v>
      </c>
      <c r="D2" s="2" t="n">
        <v>40</v>
      </c>
      <c r="E2" s="2"/>
      <c r="F2" s="5" t="n">
        <v>0.63</v>
      </c>
      <c r="G2" s="2"/>
    </row>
    <row r="3" customFormat="false" ht="15" hidden="false" customHeight="false" outlineLevel="0" collapsed="false">
      <c r="A3" s="2" t="s">
        <v>67</v>
      </c>
      <c r="B3" s="2" t="s">
        <v>290</v>
      </c>
      <c r="C3" s="2" t="s">
        <v>103</v>
      </c>
      <c r="D3" s="2" t="n">
        <v>30</v>
      </c>
      <c r="E3" s="2"/>
      <c r="F3" s="5" t="n">
        <v>0.55</v>
      </c>
      <c r="G3" s="2"/>
    </row>
    <row r="4" customFormat="false" ht="15" hidden="false" customHeight="false" outlineLevel="0" collapsed="false">
      <c r="A4" s="2" t="s">
        <v>67</v>
      </c>
      <c r="B4" s="2" t="s">
        <v>291</v>
      </c>
      <c r="C4" s="2" t="s">
        <v>103</v>
      </c>
      <c r="D4" s="2" t="n">
        <v>30</v>
      </c>
      <c r="E4" s="2"/>
      <c r="F4" s="5" t="n">
        <v>0.57</v>
      </c>
      <c r="G4" s="2"/>
    </row>
    <row r="5" customFormat="false" ht="15" hidden="false" customHeight="false" outlineLevel="0" collapsed="false">
      <c r="A5" s="2" t="s">
        <v>67</v>
      </c>
      <c r="B5" s="2" t="s">
        <v>292</v>
      </c>
      <c r="C5" s="2" t="s">
        <v>103</v>
      </c>
      <c r="D5" s="2" t="n">
        <v>20</v>
      </c>
      <c r="E5" s="2"/>
      <c r="F5" s="5" t="n">
        <v>0</v>
      </c>
      <c r="G5" s="2"/>
    </row>
    <row r="6" customFormat="false" ht="15" hidden="false" customHeight="false" outlineLevel="0" collapsed="false">
      <c r="A6" s="2" t="s">
        <v>67</v>
      </c>
      <c r="B6" s="2" t="s">
        <v>293</v>
      </c>
      <c r="C6" s="2" t="s">
        <v>103</v>
      </c>
      <c r="D6" s="2" t="n">
        <v>20</v>
      </c>
      <c r="E6" s="2"/>
      <c r="F6" s="5" t="n">
        <v>0.63</v>
      </c>
      <c r="G6" s="2"/>
    </row>
    <row r="7" customFormat="false" ht="15" hidden="false" customHeight="false" outlineLevel="0" collapsed="false">
      <c r="A7" s="2" t="s">
        <v>67</v>
      </c>
      <c r="B7" s="2" t="s">
        <v>294</v>
      </c>
      <c r="C7" s="2" t="s">
        <v>103</v>
      </c>
      <c r="D7" s="2" t="n">
        <v>20</v>
      </c>
      <c r="E7" s="2"/>
      <c r="F7" s="5" t="n">
        <v>0.45</v>
      </c>
      <c r="G7" s="2"/>
    </row>
    <row r="8" customFormat="false" ht="15" hidden="false" customHeight="false" outlineLevel="0" collapsed="false">
      <c r="A8" s="2" t="s">
        <v>67</v>
      </c>
      <c r="B8" s="2" t="s">
        <v>295</v>
      </c>
      <c r="C8" s="2" t="s">
        <v>103</v>
      </c>
      <c r="D8" s="2" t="n">
        <v>20</v>
      </c>
      <c r="E8" s="2"/>
      <c r="F8" s="5" t="n">
        <v>0</v>
      </c>
      <c r="G8" s="2"/>
    </row>
    <row r="9" customFormat="false" ht="15" hidden="false" customHeight="false" outlineLevel="0" collapsed="false">
      <c r="A9" s="2" t="s">
        <v>67</v>
      </c>
      <c r="B9" s="2" t="s">
        <v>296</v>
      </c>
      <c r="C9" s="2" t="s">
        <v>103</v>
      </c>
      <c r="D9" s="2" t="n">
        <v>20</v>
      </c>
      <c r="E9" s="2"/>
      <c r="F9" s="5" t="n">
        <v>0</v>
      </c>
      <c r="G9" s="2"/>
    </row>
    <row r="10" customFormat="false" ht="15" hidden="false" customHeight="false" outlineLevel="0" collapsed="false">
      <c r="A10" s="2" t="s">
        <v>67</v>
      </c>
      <c r="B10" s="2" t="s">
        <v>163</v>
      </c>
      <c r="C10" s="2" t="s">
        <v>105</v>
      </c>
      <c r="D10" s="2" t="n">
        <v>140</v>
      </c>
      <c r="E10" s="2" t="n">
        <v>6</v>
      </c>
      <c r="F10" s="5" t="n">
        <v>0.56</v>
      </c>
      <c r="G10" s="2" t="s">
        <v>84</v>
      </c>
    </row>
    <row r="11" customFormat="false" ht="15" hidden="false" customHeight="false" outlineLevel="0" collapsed="false">
      <c r="A11" s="2" t="s">
        <v>67</v>
      </c>
      <c r="B11" s="2" t="s">
        <v>297</v>
      </c>
      <c r="C11" s="2" t="s">
        <v>105</v>
      </c>
      <c r="D11" s="2" t="n">
        <v>50</v>
      </c>
      <c r="E11" s="2" t="n">
        <v>6</v>
      </c>
      <c r="F11" s="5" t="n">
        <v>0.56</v>
      </c>
      <c r="G11" s="2" t="s">
        <v>85</v>
      </c>
    </row>
    <row r="12" customFormat="false" ht="15" hidden="false" customHeight="false" outlineLevel="0" collapsed="false">
      <c r="A12" s="2" t="s">
        <v>67</v>
      </c>
      <c r="B12" s="2" t="s">
        <v>298</v>
      </c>
      <c r="C12" s="2" t="s">
        <v>105</v>
      </c>
      <c r="D12" s="2" t="n">
        <v>30</v>
      </c>
      <c r="E12" s="2"/>
      <c r="F12" s="5" t="n">
        <v>0.56</v>
      </c>
      <c r="G12" s="2"/>
    </row>
    <row r="13" customFormat="false" ht="15" hidden="false" customHeight="false" outlineLevel="0" collapsed="false">
      <c r="A13" s="2" t="s">
        <v>67</v>
      </c>
      <c r="B13" s="2" t="s">
        <v>299</v>
      </c>
      <c r="C13" s="2" t="s">
        <v>105</v>
      </c>
      <c r="D13" s="2" t="n">
        <v>30</v>
      </c>
      <c r="E13" s="2"/>
      <c r="F13" s="5" t="n">
        <v>0.7</v>
      </c>
      <c r="G13" s="2"/>
    </row>
    <row r="14" customFormat="false" ht="15" hidden="false" customHeight="false" outlineLevel="0" collapsed="false">
      <c r="A14" s="2" t="s">
        <v>67</v>
      </c>
      <c r="B14" s="2" t="s">
        <v>300</v>
      </c>
      <c r="C14" s="2" t="s">
        <v>105</v>
      </c>
      <c r="D14" s="2" t="n">
        <v>20</v>
      </c>
      <c r="E14" s="2"/>
      <c r="F14" s="5" t="n">
        <v>0</v>
      </c>
      <c r="G14" s="2"/>
    </row>
    <row r="15" customFormat="false" ht="15" hidden="false" customHeight="false" outlineLevel="0" collapsed="false">
      <c r="A15" s="2" t="s">
        <v>67</v>
      </c>
      <c r="B15" s="2" t="s">
        <v>301</v>
      </c>
      <c r="C15" s="2" t="s">
        <v>105</v>
      </c>
      <c r="D15" s="2" t="n">
        <v>20</v>
      </c>
      <c r="E15" s="2"/>
      <c r="F15" s="5" t="n">
        <v>0</v>
      </c>
      <c r="G15" s="2"/>
    </row>
    <row r="16" customFormat="false" ht="15" hidden="false" customHeight="false" outlineLevel="0" collapsed="false">
      <c r="A16" s="2" t="s">
        <v>67</v>
      </c>
      <c r="B16" s="2" t="s">
        <v>302</v>
      </c>
      <c r="C16" s="2" t="s">
        <v>105</v>
      </c>
      <c r="D16" s="2" t="n">
        <v>20</v>
      </c>
      <c r="E16" s="2"/>
      <c r="F16" s="5" t="n">
        <v>0</v>
      </c>
      <c r="G16" s="2"/>
    </row>
    <row r="17" customFormat="false" ht="15" hidden="false" customHeight="false" outlineLevel="0" collapsed="false">
      <c r="A17" s="2" t="s">
        <v>67</v>
      </c>
      <c r="B17" s="2" t="s">
        <v>303</v>
      </c>
      <c r="C17" s="2" t="s">
        <v>105</v>
      </c>
      <c r="D17" s="2" t="n">
        <v>20</v>
      </c>
      <c r="E17" s="2"/>
      <c r="F17" s="5" t="n">
        <v>1.83</v>
      </c>
      <c r="G17" s="2"/>
    </row>
    <row r="18" customFormat="false" ht="15" hidden="false" customHeight="false" outlineLevel="0" collapsed="false">
      <c r="A18" s="2" t="s">
        <v>67</v>
      </c>
      <c r="B18" s="2" t="s">
        <v>304</v>
      </c>
      <c r="C18" s="2" t="s">
        <v>105</v>
      </c>
      <c r="D18" s="2" t="n">
        <v>20</v>
      </c>
      <c r="E18" s="2"/>
      <c r="F18" s="5" t="n">
        <v>1.12</v>
      </c>
      <c r="G18" s="2"/>
    </row>
    <row r="19" customFormat="false" ht="15" hidden="false" customHeight="false" outlineLevel="0" collapsed="false">
      <c r="A19" s="2" t="s">
        <v>67</v>
      </c>
      <c r="B19" s="2" t="s">
        <v>305</v>
      </c>
      <c r="C19" s="2" t="s">
        <v>105</v>
      </c>
      <c r="D19" s="2" t="n">
        <v>20</v>
      </c>
      <c r="E19" s="2"/>
      <c r="F19" s="5" t="n">
        <v>0</v>
      </c>
      <c r="G19" s="2"/>
    </row>
    <row r="20" customFormat="false" ht="15" hidden="false" customHeight="false" outlineLevel="0" collapsed="false">
      <c r="A20" s="2" t="s">
        <v>67</v>
      </c>
      <c r="B20" s="2" t="s">
        <v>306</v>
      </c>
      <c r="C20" s="2" t="s">
        <v>105</v>
      </c>
      <c r="D20" s="2" t="n">
        <v>20</v>
      </c>
      <c r="E20" s="2"/>
      <c r="F20" s="5" t="n">
        <v>0.43</v>
      </c>
      <c r="G20" s="2"/>
    </row>
    <row r="21" customFormat="false" ht="15" hidden="false" customHeight="false" outlineLevel="0" collapsed="false">
      <c r="A21" s="2" t="s">
        <v>67</v>
      </c>
      <c r="B21" s="2" t="s">
        <v>307</v>
      </c>
      <c r="C21" s="2" t="s">
        <v>105</v>
      </c>
      <c r="D21" s="2" t="n">
        <v>20</v>
      </c>
      <c r="E21" s="2"/>
      <c r="F21" s="5" t="n">
        <v>0</v>
      </c>
      <c r="G21" s="2"/>
    </row>
    <row r="22" customFormat="false" ht="15" hidden="false" customHeight="false" outlineLevel="0" collapsed="false">
      <c r="A22" s="2" t="s">
        <v>67</v>
      </c>
      <c r="B22" s="2" t="s">
        <v>308</v>
      </c>
      <c r="C22" s="2" t="s">
        <v>105</v>
      </c>
      <c r="D22" s="2" t="n">
        <v>20</v>
      </c>
      <c r="E22" s="2"/>
      <c r="F22" s="5" t="n">
        <v>0</v>
      </c>
      <c r="G22" s="2"/>
    </row>
    <row r="23" customFormat="false" ht="15" hidden="false" customHeight="false" outlineLevel="0" collapsed="false">
      <c r="A23" s="2" t="s">
        <v>53</v>
      </c>
      <c r="B23" s="2" t="s">
        <v>36</v>
      </c>
      <c r="C23" s="2" t="s">
        <v>103</v>
      </c>
      <c r="D23" s="2" t="n">
        <v>170</v>
      </c>
      <c r="E23" s="2" t="n">
        <v>3</v>
      </c>
      <c r="F23" s="5" t="n">
        <v>0.74</v>
      </c>
      <c r="G23" s="2" t="s">
        <v>84</v>
      </c>
    </row>
    <row r="24" customFormat="false" ht="15" hidden="false" customHeight="false" outlineLevel="0" collapsed="false">
      <c r="A24" s="2" t="s">
        <v>53</v>
      </c>
      <c r="B24" s="2" t="s">
        <v>309</v>
      </c>
      <c r="C24" s="2" t="s">
        <v>103</v>
      </c>
      <c r="D24" s="2" t="n">
        <v>110</v>
      </c>
      <c r="E24" s="2" t="n">
        <v>12</v>
      </c>
      <c r="F24" s="5" t="n">
        <v>0.67</v>
      </c>
      <c r="G24" s="2" t="s">
        <v>84</v>
      </c>
    </row>
    <row r="25" customFormat="false" ht="15" hidden="false" customHeight="false" outlineLevel="0" collapsed="false">
      <c r="A25" s="2" t="s">
        <v>53</v>
      </c>
      <c r="B25" s="2" t="s">
        <v>180</v>
      </c>
      <c r="C25" s="2" t="s">
        <v>103</v>
      </c>
      <c r="D25" s="2" t="n">
        <v>110</v>
      </c>
      <c r="E25" s="2" t="n">
        <v>8</v>
      </c>
      <c r="F25" s="5" t="n">
        <v>0.71</v>
      </c>
      <c r="G25" s="2" t="s">
        <v>84</v>
      </c>
    </row>
    <row r="26" customFormat="false" ht="15" hidden="false" customHeight="false" outlineLevel="0" collapsed="false">
      <c r="A26" s="2" t="s">
        <v>53</v>
      </c>
      <c r="B26" s="2" t="s">
        <v>310</v>
      </c>
      <c r="C26" s="2" t="s">
        <v>103</v>
      </c>
      <c r="D26" s="2" t="n">
        <v>70</v>
      </c>
      <c r="E26" s="2" t="n">
        <v>7</v>
      </c>
      <c r="F26" s="5" t="n">
        <v>0.75</v>
      </c>
      <c r="G26" s="2" t="s">
        <v>84</v>
      </c>
    </row>
    <row r="27" customFormat="false" ht="15" hidden="false" customHeight="false" outlineLevel="0" collapsed="false">
      <c r="A27" s="2" t="s">
        <v>53</v>
      </c>
      <c r="B27" s="2" t="s">
        <v>311</v>
      </c>
      <c r="C27" s="2" t="s">
        <v>103</v>
      </c>
      <c r="D27" s="2" t="n">
        <v>30</v>
      </c>
      <c r="E27" s="2"/>
      <c r="F27" s="5" t="n">
        <v>0</v>
      </c>
      <c r="G27" s="2"/>
    </row>
    <row r="28" customFormat="false" ht="15" hidden="false" customHeight="false" outlineLevel="0" collapsed="false">
      <c r="A28" s="2" t="s">
        <v>53</v>
      </c>
      <c r="B28" s="2" t="s">
        <v>312</v>
      </c>
      <c r="C28" s="2" t="s">
        <v>103</v>
      </c>
      <c r="D28" s="2" t="n">
        <v>30</v>
      </c>
      <c r="E28" s="2"/>
      <c r="F28" s="5" t="n">
        <v>0.83</v>
      </c>
      <c r="G28" s="2"/>
    </row>
    <row r="29" customFormat="false" ht="15" hidden="false" customHeight="false" outlineLevel="0" collapsed="false">
      <c r="A29" s="2" t="s">
        <v>53</v>
      </c>
      <c r="B29" s="2" t="s">
        <v>313</v>
      </c>
      <c r="C29" s="2" t="s">
        <v>103</v>
      </c>
      <c r="D29" s="2" t="n">
        <v>20</v>
      </c>
      <c r="E29" s="2"/>
      <c r="F29" s="5" t="n">
        <v>0</v>
      </c>
      <c r="G29" s="2"/>
    </row>
    <row r="30" customFormat="false" ht="15" hidden="false" customHeight="false" outlineLevel="0" collapsed="false">
      <c r="A30" s="2" t="s">
        <v>53</v>
      </c>
      <c r="B30" s="2" t="s">
        <v>314</v>
      </c>
      <c r="C30" s="2" t="s">
        <v>103</v>
      </c>
      <c r="D30" s="2" t="n">
        <v>20</v>
      </c>
      <c r="E30" s="2"/>
      <c r="F30" s="5" t="n">
        <v>0.56</v>
      </c>
      <c r="G30" s="2"/>
    </row>
    <row r="31" customFormat="false" ht="15" hidden="false" customHeight="false" outlineLevel="0" collapsed="false">
      <c r="A31" s="2" t="s">
        <v>53</v>
      </c>
      <c r="B31" s="2" t="s">
        <v>315</v>
      </c>
      <c r="C31" s="2" t="s">
        <v>103</v>
      </c>
      <c r="D31" s="2" t="n">
        <v>20</v>
      </c>
      <c r="E31" s="2"/>
      <c r="F31" s="5" t="n">
        <v>0</v>
      </c>
      <c r="G31" s="2"/>
    </row>
    <row r="32" customFormat="false" ht="15" hidden="false" customHeight="false" outlineLevel="0" collapsed="false">
      <c r="A32" s="2" t="s">
        <v>53</v>
      </c>
      <c r="B32" s="2" t="s">
        <v>316</v>
      </c>
      <c r="C32" s="2" t="s">
        <v>103</v>
      </c>
      <c r="D32" s="2" t="n">
        <v>20</v>
      </c>
      <c r="E32" s="2"/>
      <c r="F32" s="5" t="n">
        <v>0.69</v>
      </c>
      <c r="G32" s="2"/>
    </row>
    <row r="33" customFormat="false" ht="15" hidden="false" customHeight="false" outlineLevel="0" collapsed="false">
      <c r="A33" s="2" t="s">
        <v>53</v>
      </c>
      <c r="B33" s="2" t="s">
        <v>317</v>
      </c>
      <c r="C33" s="2" t="s">
        <v>103</v>
      </c>
      <c r="D33" s="2" t="n">
        <v>20</v>
      </c>
      <c r="E33" s="2"/>
      <c r="F33" s="5" t="n">
        <v>0.54</v>
      </c>
      <c r="G33" s="2"/>
    </row>
    <row r="34" customFormat="false" ht="15" hidden="false" customHeight="false" outlineLevel="0" collapsed="false">
      <c r="A34" s="2" t="s">
        <v>53</v>
      </c>
      <c r="B34" s="2" t="s">
        <v>318</v>
      </c>
      <c r="C34" s="2" t="s">
        <v>103</v>
      </c>
      <c r="D34" s="2" t="n">
        <v>20</v>
      </c>
      <c r="E34" s="2"/>
      <c r="F34" s="5" t="n">
        <v>0.44</v>
      </c>
      <c r="G34" s="2"/>
    </row>
    <row r="35" customFormat="false" ht="15" hidden="false" customHeight="false" outlineLevel="0" collapsed="false">
      <c r="A35" s="2" t="s">
        <v>53</v>
      </c>
      <c r="B35" s="2" t="s">
        <v>319</v>
      </c>
      <c r="C35" s="2" t="s">
        <v>103</v>
      </c>
      <c r="D35" s="2" t="n">
        <v>20</v>
      </c>
      <c r="E35" s="2"/>
      <c r="F35" s="5" t="n">
        <v>0.52</v>
      </c>
      <c r="G35" s="2"/>
    </row>
    <row r="36" customFormat="false" ht="15" hidden="false" customHeight="false" outlineLevel="0" collapsed="false">
      <c r="A36" s="2" t="s">
        <v>53</v>
      </c>
      <c r="B36" s="2" t="s">
        <v>320</v>
      </c>
      <c r="C36" s="2" t="s">
        <v>103</v>
      </c>
      <c r="D36" s="2" t="n">
        <v>20</v>
      </c>
      <c r="E36" s="2"/>
      <c r="F36" s="5" t="n">
        <v>0</v>
      </c>
      <c r="G36" s="2"/>
    </row>
    <row r="37" customFormat="false" ht="15" hidden="false" customHeight="false" outlineLevel="0" collapsed="false">
      <c r="A37" s="2" t="s">
        <v>53</v>
      </c>
      <c r="B37" s="2" t="s">
        <v>321</v>
      </c>
      <c r="C37" s="2" t="s">
        <v>103</v>
      </c>
      <c r="D37" s="2" t="n">
        <v>20</v>
      </c>
      <c r="E37" s="2"/>
      <c r="F37" s="5" t="n">
        <v>0.34</v>
      </c>
      <c r="G37" s="2"/>
    </row>
    <row r="38" customFormat="false" ht="15" hidden="false" customHeight="false" outlineLevel="0" collapsed="false">
      <c r="A38" s="2" t="s">
        <v>53</v>
      </c>
      <c r="B38" s="2" t="s">
        <v>322</v>
      </c>
      <c r="C38" s="2" t="s">
        <v>103</v>
      </c>
      <c r="D38" s="2" t="n">
        <v>20</v>
      </c>
      <c r="E38" s="2"/>
      <c r="F38" s="5" t="n">
        <v>0</v>
      </c>
      <c r="G38" s="2"/>
    </row>
    <row r="39" customFormat="false" ht="15" hidden="false" customHeight="false" outlineLevel="0" collapsed="false">
      <c r="A39" s="2" t="s">
        <v>53</v>
      </c>
      <c r="B39" s="2" t="s">
        <v>323</v>
      </c>
      <c r="C39" s="2" t="s">
        <v>103</v>
      </c>
      <c r="D39" s="2" t="n">
        <v>20</v>
      </c>
      <c r="E39" s="2"/>
      <c r="F39" s="5" t="n">
        <v>0</v>
      </c>
      <c r="G39" s="2"/>
    </row>
    <row r="40" customFormat="false" ht="15" hidden="false" customHeight="false" outlineLevel="0" collapsed="false">
      <c r="A40" s="2" t="s">
        <v>53</v>
      </c>
      <c r="B40" s="2" t="s">
        <v>324</v>
      </c>
      <c r="C40" s="2" t="s">
        <v>103</v>
      </c>
      <c r="D40" s="2" t="n">
        <v>20</v>
      </c>
      <c r="E40" s="2"/>
      <c r="F40" s="5" t="n">
        <v>0</v>
      </c>
      <c r="G40" s="2"/>
    </row>
    <row r="41" customFormat="false" ht="15" hidden="false" customHeight="false" outlineLevel="0" collapsed="false">
      <c r="A41" s="2" t="s">
        <v>53</v>
      </c>
      <c r="B41" s="2" t="s">
        <v>325</v>
      </c>
      <c r="C41" s="2" t="s">
        <v>103</v>
      </c>
      <c r="D41" s="2" t="n">
        <v>20</v>
      </c>
      <c r="E41" s="2"/>
      <c r="F41" s="5" t="n">
        <v>0</v>
      </c>
      <c r="G41" s="2"/>
    </row>
    <row r="42" customFormat="false" ht="15" hidden="false" customHeight="false" outlineLevel="0" collapsed="false">
      <c r="A42" s="2" t="s">
        <v>53</v>
      </c>
      <c r="B42" s="2" t="s">
        <v>138</v>
      </c>
      <c r="C42" s="2" t="s">
        <v>105</v>
      </c>
      <c r="D42" s="2" t="n">
        <v>210</v>
      </c>
      <c r="E42" s="2" t="n">
        <v>6</v>
      </c>
      <c r="F42" s="5" t="n">
        <v>0.75</v>
      </c>
      <c r="G42" s="2" t="s">
        <v>84</v>
      </c>
    </row>
    <row r="43" customFormat="false" ht="15" hidden="false" customHeight="false" outlineLevel="0" collapsed="false">
      <c r="A43" s="2" t="s">
        <v>53</v>
      </c>
      <c r="B43" s="2" t="s">
        <v>135</v>
      </c>
      <c r="C43" s="2" t="s">
        <v>105</v>
      </c>
      <c r="D43" s="2" t="n">
        <v>210</v>
      </c>
      <c r="E43" s="2" t="n">
        <v>5</v>
      </c>
      <c r="F43" s="5" t="n">
        <v>0.71</v>
      </c>
      <c r="G43" s="2" t="s">
        <v>84</v>
      </c>
    </row>
    <row r="44" customFormat="false" ht="15" hidden="false" customHeight="false" outlineLevel="0" collapsed="false">
      <c r="A44" s="2" t="s">
        <v>53</v>
      </c>
      <c r="B44" s="2" t="s">
        <v>326</v>
      </c>
      <c r="C44" s="2" t="s">
        <v>105</v>
      </c>
      <c r="D44" s="2" t="n">
        <v>90</v>
      </c>
      <c r="E44" s="2" t="n">
        <v>10</v>
      </c>
      <c r="F44" s="5" t="n">
        <v>0.48</v>
      </c>
      <c r="G44" s="2" t="s">
        <v>89</v>
      </c>
    </row>
    <row r="45" customFormat="false" ht="15" hidden="false" customHeight="false" outlineLevel="0" collapsed="false">
      <c r="A45" s="2" t="s">
        <v>53</v>
      </c>
      <c r="B45" s="2" t="s">
        <v>255</v>
      </c>
      <c r="C45" s="2" t="s">
        <v>105</v>
      </c>
      <c r="D45" s="2" t="n">
        <v>50</v>
      </c>
      <c r="E45" s="2" t="n">
        <v>4</v>
      </c>
      <c r="F45" s="5" t="n">
        <v>0.71</v>
      </c>
      <c r="G45" s="2" t="s">
        <v>84</v>
      </c>
    </row>
    <row r="46" customFormat="false" ht="15" hidden="false" customHeight="false" outlineLevel="0" collapsed="false">
      <c r="A46" s="2" t="s">
        <v>53</v>
      </c>
      <c r="B46" s="2" t="s">
        <v>327</v>
      </c>
      <c r="C46" s="2" t="s">
        <v>105</v>
      </c>
      <c r="D46" s="2" t="n">
        <v>50</v>
      </c>
      <c r="E46" s="2" t="n">
        <v>4</v>
      </c>
      <c r="F46" s="5" t="n">
        <v>0.64</v>
      </c>
      <c r="G46" s="2" t="s">
        <v>88</v>
      </c>
    </row>
    <row r="47" customFormat="false" ht="15" hidden="false" customHeight="false" outlineLevel="0" collapsed="false">
      <c r="A47" s="2" t="s">
        <v>53</v>
      </c>
      <c r="B47" s="2" t="s">
        <v>328</v>
      </c>
      <c r="C47" s="2" t="s">
        <v>105</v>
      </c>
      <c r="D47" s="2" t="n">
        <v>40</v>
      </c>
      <c r="E47" s="2" t="n">
        <v>13</v>
      </c>
      <c r="F47" s="5" t="n">
        <v>0.75</v>
      </c>
      <c r="G47" s="2" t="s">
        <v>84</v>
      </c>
    </row>
    <row r="48" customFormat="false" ht="15" hidden="false" customHeight="false" outlineLevel="0" collapsed="false">
      <c r="A48" s="2" t="s">
        <v>53</v>
      </c>
      <c r="B48" s="2" t="s">
        <v>329</v>
      </c>
      <c r="C48" s="2" t="s">
        <v>105</v>
      </c>
      <c r="D48" s="2" t="n">
        <v>40</v>
      </c>
      <c r="E48" s="2" t="n">
        <v>3</v>
      </c>
      <c r="F48" s="5" t="n">
        <v>0.78</v>
      </c>
      <c r="G48" s="2" t="s">
        <v>84</v>
      </c>
    </row>
    <row r="49" customFormat="false" ht="15" hidden="false" customHeight="false" outlineLevel="0" collapsed="false">
      <c r="A49" s="2" t="s">
        <v>53</v>
      </c>
      <c r="B49" s="2" t="s">
        <v>330</v>
      </c>
      <c r="C49" s="2" t="s">
        <v>105</v>
      </c>
      <c r="D49" s="2" t="n">
        <v>40</v>
      </c>
      <c r="E49" s="2"/>
      <c r="F49" s="5" t="n">
        <v>0.78</v>
      </c>
      <c r="G49" s="2"/>
    </row>
    <row r="50" customFormat="false" ht="15" hidden="false" customHeight="false" outlineLevel="0" collapsed="false">
      <c r="A50" s="2" t="s">
        <v>53</v>
      </c>
      <c r="B50" s="2" t="s">
        <v>331</v>
      </c>
      <c r="C50" s="2" t="s">
        <v>105</v>
      </c>
      <c r="D50" s="2" t="n">
        <v>20</v>
      </c>
      <c r="E50" s="2"/>
      <c r="F50" s="5" t="n">
        <v>0</v>
      </c>
      <c r="G50" s="2"/>
    </row>
    <row r="51" customFormat="false" ht="15" hidden="false" customHeight="false" outlineLevel="0" collapsed="false">
      <c r="A51" s="2" t="s">
        <v>53</v>
      </c>
      <c r="B51" s="2" t="s">
        <v>332</v>
      </c>
      <c r="C51" s="2" t="s">
        <v>105</v>
      </c>
      <c r="D51" s="2" t="n">
        <v>20</v>
      </c>
      <c r="E51" s="2"/>
      <c r="F51" s="5" t="n">
        <v>0</v>
      </c>
      <c r="G51" s="2"/>
    </row>
    <row r="52" customFormat="false" ht="15" hidden="false" customHeight="false" outlineLevel="0" collapsed="false">
      <c r="A52" s="2" t="s">
        <v>53</v>
      </c>
      <c r="B52" s="2" t="s">
        <v>333</v>
      </c>
      <c r="C52" s="2" t="s">
        <v>105</v>
      </c>
      <c r="D52" s="2" t="n">
        <v>20</v>
      </c>
      <c r="E52" s="2"/>
      <c r="F52" s="5" t="n">
        <v>0.51</v>
      </c>
      <c r="G52" s="2"/>
    </row>
    <row r="53" customFormat="false" ht="15" hidden="false" customHeight="false" outlineLevel="0" collapsed="false">
      <c r="A53" s="2" t="s">
        <v>53</v>
      </c>
      <c r="B53" s="2" t="s">
        <v>334</v>
      </c>
      <c r="C53" s="2" t="s">
        <v>105</v>
      </c>
      <c r="D53" s="2" t="n">
        <v>20</v>
      </c>
      <c r="E53" s="2"/>
      <c r="F53" s="5" t="n">
        <v>0.56</v>
      </c>
      <c r="G53" s="2"/>
    </row>
    <row r="54" customFormat="false" ht="15" hidden="false" customHeight="false" outlineLevel="0" collapsed="false">
      <c r="A54" s="2" t="s">
        <v>53</v>
      </c>
      <c r="B54" s="2" t="s">
        <v>335</v>
      </c>
      <c r="C54" s="2" t="s">
        <v>105</v>
      </c>
      <c r="D54" s="2" t="n">
        <v>20</v>
      </c>
      <c r="E54" s="2"/>
      <c r="F54" s="5" t="n">
        <v>0</v>
      </c>
      <c r="G54" s="2"/>
    </row>
    <row r="55" customFormat="false" ht="15" hidden="false" customHeight="false" outlineLevel="0" collapsed="false">
      <c r="A55" s="2" t="s">
        <v>53</v>
      </c>
      <c r="B55" s="2" t="s">
        <v>336</v>
      </c>
      <c r="C55" s="2" t="s">
        <v>105</v>
      </c>
      <c r="D55" s="2" t="n">
        <v>20</v>
      </c>
      <c r="E55" s="2"/>
      <c r="F55" s="5" t="n">
        <v>0</v>
      </c>
      <c r="G55" s="2"/>
    </row>
    <row r="56" customFormat="false" ht="15" hidden="false" customHeight="false" outlineLevel="0" collapsed="false">
      <c r="A56" s="2" t="s">
        <v>53</v>
      </c>
      <c r="B56" s="2" t="s">
        <v>337</v>
      </c>
      <c r="C56" s="2" t="s">
        <v>105</v>
      </c>
      <c r="D56" s="2" t="n">
        <v>20</v>
      </c>
      <c r="E56" s="2"/>
      <c r="F56" s="5" t="n">
        <v>0</v>
      </c>
      <c r="G56" s="2"/>
    </row>
    <row r="57" customFormat="false" ht="15" hidden="false" customHeight="false" outlineLevel="0" collapsed="false">
      <c r="A57" s="2" t="s">
        <v>53</v>
      </c>
      <c r="B57" s="2" t="s">
        <v>338</v>
      </c>
      <c r="C57" s="2" t="s">
        <v>105</v>
      </c>
      <c r="D57" s="2" t="n">
        <v>20</v>
      </c>
      <c r="E57" s="2"/>
      <c r="F57" s="5" t="n">
        <v>3.7</v>
      </c>
      <c r="G57" s="2"/>
    </row>
    <row r="58" customFormat="false" ht="15" hidden="false" customHeight="false" outlineLevel="0" collapsed="false">
      <c r="A58" s="2" t="s">
        <v>53</v>
      </c>
      <c r="B58" s="2" t="s">
        <v>339</v>
      </c>
      <c r="C58" s="2" t="s">
        <v>105</v>
      </c>
      <c r="D58" s="2" t="n">
        <v>20</v>
      </c>
      <c r="E58" s="2"/>
      <c r="F58" s="5" t="n">
        <v>0.23</v>
      </c>
      <c r="G58" s="2"/>
    </row>
    <row r="59" customFormat="false" ht="15" hidden="false" customHeight="false" outlineLevel="0" collapsed="false">
      <c r="A59" s="2" t="s">
        <v>53</v>
      </c>
      <c r="B59" s="2" t="s">
        <v>340</v>
      </c>
      <c r="C59" s="2" t="s">
        <v>105</v>
      </c>
      <c r="D59" s="2" t="n">
        <v>20</v>
      </c>
      <c r="E59" s="2"/>
      <c r="F59" s="5" t="n">
        <v>0</v>
      </c>
      <c r="G59" s="2"/>
    </row>
    <row r="60" customFormat="false" ht="15" hidden="false" customHeight="false" outlineLevel="0" collapsed="false">
      <c r="A60" s="2" t="s">
        <v>53</v>
      </c>
      <c r="B60" s="2" t="s">
        <v>341</v>
      </c>
      <c r="C60" s="2" t="s">
        <v>105</v>
      </c>
      <c r="D60" s="2" t="n">
        <v>20</v>
      </c>
      <c r="E60" s="2"/>
      <c r="F60" s="5" t="n">
        <v>0</v>
      </c>
      <c r="G60" s="2"/>
    </row>
    <row r="61" customFormat="false" ht="15" hidden="false" customHeight="false" outlineLevel="0" collapsed="false">
      <c r="A61" s="2" t="s">
        <v>53</v>
      </c>
      <c r="B61" s="2" t="s">
        <v>342</v>
      </c>
      <c r="C61" s="2" t="s">
        <v>105</v>
      </c>
      <c r="D61" s="2" t="n">
        <v>20</v>
      </c>
      <c r="E61" s="2"/>
      <c r="F61" s="5" t="n">
        <v>0</v>
      </c>
      <c r="G61" s="2"/>
    </row>
    <row r="62" customFormat="false" ht="15" hidden="false" customHeight="false" outlineLevel="0" collapsed="false">
      <c r="A62" s="2" t="s">
        <v>53</v>
      </c>
      <c r="B62" s="2" t="s">
        <v>343</v>
      </c>
      <c r="C62" s="2" t="s">
        <v>105</v>
      </c>
      <c r="D62" s="2" t="n">
        <v>20</v>
      </c>
      <c r="E62" s="2"/>
      <c r="F62" s="5" t="n">
        <v>0.47</v>
      </c>
      <c r="G62" s="2"/>
    </row>
    <row r="63" customFormat="false" ht="15" hidden="false" customHeight="false" outlineLevel="0" collapsed="false">
      <c r="A63" s="2" t="s">
        <v>53</v>
      </c>
      <c r="B63" s="2" t="s">
        <v>344</v>
      </c>
      <c r="C63" s="2" t="s">
        <v>105</v>
      </c>
      <c r="D63" s="2" t="n">
        <v>20</v>
      </c>
      <c r="E63" s="2"/>
      <c r="F63" s="5" t="n">
        <v>0.58</v>
      </c>
      <c r="G63" s="2"/>
    </row>
    <row r="64" customFormat="false" ht="15" hidden="false" customHeight="false" outlineLevel="0" collapsed="false">
      <c r="A64" s="2" t="s">
        <v>53</v>
      </c>
      <c r="B64" s="2" t="s">
        <v>345</v>
      </c>
      <c r="C64" s="2" t="s">
        <v>105</v>
      </c>
      <c r="D64" s="2" t="n">
        <v>20</v>
      </c>
      <c r="E64" s="2"/>
      <c r="F64" s="5" t="n">
        <v>0.73</v>
      </c>
      <c r="G64" s="2"/>
    </row>
    <row r="65" customFormat="false" ht="15" hidden="false" customHeight="false" outlineLevel="0" collapsed="false">
      <c r="A65" s="2" t="s">
        <v>53</v>
      </c>
      <c r="B65" s="2" t="s">
        <v>346</v>
      </c>
      <c r="C65" s="2" t="s">
        <v>105</v>
      </c>
      <c r="D65" s="2" t="n">
        <v>20</v>
      </c>
      <c r="E65" s="2"/>
      <c r="F65" s="5" t="n">
        <v>0.92</v>
      </c>
      <c r="G65" s="2"/>
    </row>
    <row r="66" customFormat="false" ht="15" hidden="false" customHeight="false" outlineLevel="0" collapsed="false">
      <c r="A66" s="2" t="s">
        <v>53</v>
      </c>
      <c r="B66" s="2" t="s">
        <v>347</v>
      </c>
      <c r="C66" s="2" t="s">
        <v>105</v>
      </c>
      <c r="D66" s="2" t="n">
        <v>20</v>
      </c>
      <c r="E66" s="2"/>
      <c r="F66" s="5" t="n">
        <v>0.46</v>
      </c>
      <c r="G66" s="2"/>
    </row>
    <row r="67" customFormat="false" ht="15" hidden="false" customHeight="false" outlineLevel="0" collapsed="false">
      <c r="A67" s="2" t="s">
        <v>53</v>
      </c>
      <c r="B67" s="2" t="s">
        <v>348</v>
      </c>
      <c r="C67" s="2" t="s">
        <v>105</v>
      </c>
      <c r="D67" s="2" t="n">
        <v>20</v>
      </c>
      <c r="E67" s="2"/>
      <c r="F67" s="5" t="n">
        <v>0</v>
      </c>
      <c r="G67" s="2"/>
    </row>
    <row r="68" customFormat="false" ht="15" hidden="false" customHeight="false" outlineLevel="0" collapsed="false">
      <c r="A68" s="2" t="s">
        <v>53</v>
      </c>
      <c r="B68" s="2" t="s">
        <v>349</v>
      </c>
      <c r="C68" s="2" t="s">
        <v>105</v>
      </c>
      <c r="D68" s="2" t="n">
        <v>20</v>
      </c>
      <c r="E68" s="2"/>
      <c r="F68" s="5" t="n">
        <v>0.65</v>
      </c>
      <c r="G68" s="2"/>
    </row>
    <row r="69" customFormat="false" ht="15" hidden="false" customHeight="false" outlineLevel="0" collapsed="false">
      <c r="A69" s="2" t="s">
        <v>53</v>
      </c>
      <c r="B69" s="2" t="s">
        <v>350</v>
      </c>
      <c r="C69" s="2" t="s">
        <v>105</v>
      </c>
      <c r="D69" s="2" t="n">
        <v>20</v>
      </c>
      <c r="E69" s="2"/>
      <c r="F69" s="5" t="n">
        <v>0</v>
      </c>
      <c r="G69" s="2"/>
    </row>
    <row r="70" customFormat="false" ht="15" hidden="false" customHeight="false" outlineLevel="0" collapsed="false">
      <c r="A70" s="2" t="s">
        <v>53</v>
      </c>
      <c r="B70" s="2" t="s">
        <v>351</v>
      </c>
      <c r="C70" s="2" t="s">
        <v>105</v>
      </c>
      <c r="D70" s="2" t="n">
        <v>20</v>
      </c>
      <c r="E70" s="2"/>
      <c r="F70" s="5" t="n">
        <v>1.1</v>
      </c>
      <c r="G70" s="2"/>
    </row>
    <row r="71" customFormat="false" ht="15" hidden="false" customHeight="false" outlineLevel="0" collapsed="false">
      <c r="A71" s="2" t="s">
        <v>70</v>
      </c>
      <c r="B71" s="2" t="s">
        <v>72</v>
      </c>
      <c r="C71" s="2" t="s">
        <v>103</v>
      </c>
      <c r="D71" s="2" t="n">
        <v>20</v>
      </c>
      <c r="E71" s="2"/>
      <c r="F71" s="5" t="n">
        <v>0</v>
      </c>
      <c r="G71" s="2"/>
    </row>
    <row r="72" customFormat="false" ht="15" hidden="false" customHeight="false" outlineLevel="0" collapsed="false">
      <c r="A72" s="2" t="s">
        <v>70</v>
      </c>
      <c r="B72" s="2" t="s">
        <v>352</v>
      </c>
      <c r="C72" s="2" t="s">
        <v>103</v>
      </c>
      <c r="D72" s="2" t="n">
        <v>20</v>
      </c>
      <c r="E72" s="2"/>
      <c r="F72" s="5" t="n">
        <v>0</v>
      </c>
      <c r="G72" s="2"/>
    </row>
    <row r="73" customFormat="false" ht="15" hidden="false" customHeight="false" outlineLevel="0" collapsed="false">
      <c r="A73" s="2" t="s">
        <v>70</v>
      </c>
      <c r="B73" s="2" t="s">
        <v>353</v>
      </c>
      <c r="C73" s="2" t="s">
        <v>105</v>
      </c>
      <c r="D73" s="2" t="n">
        <v>20</v>
      </c>
      <c r="E73" s="2"/>
      <c r="F73" s="5" t="n">
        <v>1.06</v>
      </c>
      <c r="G73" s="2"/>
    </row>
    <row r="74" customFormat="false" ht="15" hidden="false" customHeight="false" outlineLevel="0" collapsed="false">
      <c r="A74" s="2" t="s">
        <v>70</v>
      </c>
      <c r="B74" s="2" t="s">
        <v>354</v>
      </c>
      <c r="C74" s="2" t="s">
        <v>105</v>
      </c>
      <c r="D74" s="2" t="n">
        <v>20</v>
      </c>
      <c r="E74" s="2"/>
      <c r="F74" s="5" t="n">
        <v>0.75</v>
      </c>
      <c r="G74" s="2"/>
    </row>
    <row r="75" customFormat="false" ht="15" hidden="false" customHeight="false" outlineLevel="0" collapsed="false">
      <c r="A75" s="2" t="s">
        <v>76</v>
      </c>
      <c r="B75" s="2" t="s">
        <v>78</v>
      </c>
      <c r="C75" s="2" t="s">
        <v>103</v>
      </c>
      <c r="D75" s="2" t="n">
        <v>30</v>
      </c>
      <c r="E75" s="2"/>
      <c r="F75" s="5" t="n">
        <v>0.64</v>
      </c>
      <c r="G75" s="2"/>
    </row>
    <row r="76" customFormat="false" ht="15" hidden="false" customHeight="false" outlineLevel="0" collapsed="false">
      <c r="A76" s="2" t="s">
        <v>76</v>
      </c>
      <c r="B76" s="2" t="s">
        <v>355</v>
      </c>
      <c r="C76" s="2" t="s">
        <v>105</v>
      </c>
      <c r="D76" s="2" t="n">
        <v>30</v>
      </c>
      <c r="E76" s="2"/>
      <c r="F76" s="5" t="n">
        <v>0.64</v>
      </c>
      <c r="G76" s="2"/>
    </row>
    <row r="77" customFormat="false" ht="15" hidden="false" customHeight="false" outlineLevel="0" collapsed="false">
      <c r="A77" s="2" t="s">
        <v>76</v>
      </c>
      <c r="B77" s="2" t="s">
        <v>356</v>
      </c>
      <c r="C77" s="2" t="s">
        <v>105</v>
      </c>
      <c r="D77" s="2" t="n">
        <v>30</v>
      </c>
      <c r="E77" s="2"/>
      <c r="F77" s="5" t="n">
        <v>0.64</v>
      </c>
      <c r="G77" s="2"/>
    </row>
    <row r="78" customFormat="false" ht="15" hidden="false" customHeight="false" outlineLevel="0" collapsed="false">
      <c r="A78" s="2" t="s">
        <v>64</v>
      </c>
      <c r="B78" s="2" t="s">
        <v>66</v>
      </c>
      <c r="C78" s="2" t="s">
        <v>103</v>
      </c>
      <c r="D78" s="2" t="n">
        <v>110</v>
      </c>
      <c r="E78" s="2" t="n">
        <v>5</v>
      </c>
      <c r="F78" s="5" t="n">
        <v>0.88</v>
      </c>
      <c r="G78" s="2" t="s">
        <v>85</v>
      </c>
    </row>
    <row r="79" customFormat="false" ht="15" hidden="false" customHeight="false" outlineLevel="0" collapsed="false">
      <c r="A79" s="2" t="s">
        <v>64</v>
      </c>
      <c r="B79" s="2" t="s">
        <v>209</v>
      </c>
      <c r="C79" s="2" t="s">
        <v>103</v>
      </c>
      <c r="D79" s="2" t="n">
        <v>110</v>
      </c>
      <c r="E79" s="2" t="n">
        <v>4</v>
      </c>
      <c r="F79" s="5" t="n">
        <v>0.88</v>
      </c>
      <c r="G79" s="2" t="s">
        <v>85</v>
      </c>
    </row>
    <row r="80" customFormat="false" ht="15" hidden="false" customHeight="false" outlineLevel="0" collapsed="false">
      <c r="A80" s="2" t="s">
        <v>64</v>
      </c>
      <c r="B80" s="2" t="s">
        <v>202</v>
      </c>
      <c r="C80" s="2" t="s">
        <v>103</v>
      </c>
      <c r="D80" s="2" t="n">
        <v>90</v>
      </c>
      <c r="E80" s="2" t="n">
        <v>5</v>
      </c>
      <c r="F80" s="5" t="n">
        <v>0.72</v>
      </c>
      <c r="G80" s="2" t="s">
        <v>84</v>
      </c>
    </row>
    <row r="81" customFormat="false" ht="15" hidden="false" customHeight="false" outlineLevel="0" collapsed="false">
      <c r="A81" s="2" t="s">
        <v>64</v>
      </c>
      <c r="B81" s="2" t="s">
        <v>357</v>
      </c>
      <c r="C81" s="2" t="s">
        <v>103</v>
      </c>
      <c r="D81" s="2" t="n">
        <v>20</v>
      </c>
      <c r="E81" s="2"/>
      <c r="F81" s="5" t="n">
        <v>0</v>
      </c>
      <c r="G81" s="2"/>
    </row>
    <row r="82" customFormat="false" ht="15" hidden="false" customHeight="false" outlineLevel="0" collapsed="false">
      <c r="A82" s="2" t="s">
        <v>64</v>
      </c>
      <c r="B82" s="2" t="s">
        <v>358</v>
      </c>
      <c r="C82" s="2" t="s">
        <v>103</v>
      </c>
      <c r="D82" s="2" t="n">
        <v>20</v>
      </c>
      <c r="E82" s="2"/>
      <c r="F82" s="5" t="n">
        <v>0.74</v>
      </c>
      <c r="G82" s="2"/>
    </row>
    <row r="83" customFormat="false" ht="15" hidden="false" customHeight="false" outlineLevel="0" collapsed="false">
      <c r="A83" s="2" t="s">
        <v>64</v>
      </c>
      <c r="B83" s="2" t="s">
        <v>359</v>
      </c>
      <c r="C83" s="2" t="s">
        <v>103</v>
      </c>
      <c r="D83" s="2" t="n">
        <v>20</v>
      </c>
      <c r="E83" s="2"/>
      <c r="F83" s="5" t="n">
        <v>0</v>
      </c>
      <c r="G83" s="2"/>
    </row>
    <row r="84" customFormat="false" ht="15" hidden="false" customHeight="false" outlineLevel="0" collapsed="false">
      <c r="A84" s="2" t="s">
        <v>64</v>
      </c>
      <c r="B84" s="2" t="s">
        <v>145</v>
      </c>
      <c r="C84" s="2" t="s">
        <v>105</v>
      </c>
      <c r="D84" s="2" t="n">
        <v>210</v>
      </c>
      <c r="E84" s="2" t="n">
        <v>6</v>
      </c>
      <c r="F84" s="5" t="n">
        <v>0.8</v>
      </c>
      <c r="G84" s="2" t="s">
        <v>85</v>
      </c>
    </row>
    <row r="85" customFormat="false" ht="15" hidden="false" customHeight="false" outlineLevel="0" collapsed="false">
      <c r="A85" s="2" t="s">
        <v>64</v>
      </c>
      <c r="B85" s="2" t="s">
        <v>167</v>
      </c>
      <c r="C85" s="2" t="s">
        <v>105</v>
      </c>
      <c r="D85" s="2" t="n">
        <v>110</v>
      </c>
      <c r="E85" s="2" t="n">
        <v>5</v>
      </c>
      <c r="F85" s="5" t="n">
        <v>0.74</v>
      </c>
      <c r="G85" s="2" t="s">
        <v>84</v>
      </c>
    </row>
    <row r="86" customFormat="false" ht="15" hidden="false" customHeight="false" outlineLevel="0" collapsed="false">
      <c r="A86" s="2" t="s">
        <v>64</v>
      </c>
      <c r="B86" s="2" t="s">
        <v>360</v>
      </c>
      <c r="C86" s="2" t="s">
        <v>105</v>
      </c>
      <c r="D86" s="2" t="n">
        <v>70</v>
      </c>
      <c r="E86" s="2" t="n">
        <v>9</v>
      </c>
      <c r="F86" s="5" t="n">
        <v>0.88</v>
      </c>
      <c r="G86" s="2" t="s">
        <v>89</v>
      </c>
    </row>
    <row r="87" customFormat="false" ht="15" hidden="false" customHeight="false" outlineLevel="0" collapsed="false">
      <c r="A87" s="2" t="s">
        <v>64</v>
      </c>
      <c r="B87" s="2" t="s">
        <v>361</v>
      </c>
      <c r="C87" s="2" t="s">
        <v>105</v>
      </c>
      <c r="D87" s="2" t="n">
        <v>20</v>
      </c>
      <c r="E87" s="2"/>
      <c r="F87" s="5" t="n">
        <v>0</v>
      </c>
      <c r="G87" s="2"/>
    </row>
    <row r="88" customFormat="false" ht="15" hidden="false" customHeight="false" outlineLevel="0" collapsed="false">
      <c r="A88" s="2" t="s">
        <v>64</v>
      </c>
      <c r="B88" s="2" t="s">
        <v>362</v>
      </c>
      <c r="C88" s="2" t="s">
        <v>105</v>
      </c>
      <c r="D88" s="2" t="n">
        <v>20</v>
      </c>
      <c r="E88" s="2"/>
      <c r="F88" s="5" t="n">
        <v>0.74</v>
      </c>
      <c r="G88" s="2"/>
    </row>
    <row r="89" customFormat="false" ht="15" hidden="false" customHeight="false" outlineLevel="0" collapsed="false">
      <c r="A89" s="2" t="s">
        <v>64</v>
      </c>
      <c r="B89" s="2" t="s">
        <v>363</v>
      </c>
      <c r="C89" s="2" t="s">
        <v>105</v>
      </c>
      <c r="D89" s="2" t="n">
        <v>20</v>
      </c>
      <c r="E89" s="2"/>
      <c r="F89" s="5" t="n">
        <v>0</v>
      </c>
      <c r="G89" s="2"/>
    </row>
    <row r="90" customFormat="false" ht="15" hidden="false" customHeight="false" outlineLevel="0" collapsed="false">
      <c r="A90" s="2" t="s">
        <v>61</v>
      </c>
      <c r="B90" s="2" t="s">
        <v>63</v>
      </c>
      <c r="C90" s="2" t="s">
        <v>103</v>
      </c>
      <c r="D90" s="2" t="n">
        <v>90</v>
      </c>
      <c r="E90" s="2" t="n">
        <v>4</v>
      </c>
      <c r="F90" s="5" t="n">
        <v>0.68</v>
      </c>
      <c r="G90" s="2" t="s">
        <v>84</v>
      </c>
    </row>
    <row r="91" customFormat="false" ht="15" hidden="false" customHeight="false" outlineLevel="0" collapsed="false">
      <c r="A91" s="2" t="s">
        <v>61</v>
      </c>
      <c r="B91" s="2" t="s">
        <v>364</v>
      </c>
      <c r="C91" s="2" t="s">
        <v>103</v>
      </c>
      <c r="D91" s="2" t="n">
        <v>40</v>
      </c>
      <c r="E91" s="2" t="n">
        <v>14</v>
      </c>
      <c r="F91" s="5" t="n">
        <v>0.49</v>
      </c>
      <c r="G91" s="2" t="s">
        <v>84</v>
      </c>
    </row>
    <row r="92" customFormat="false" ht="15" hidden="false" customHeight="false" outlineLevel="0" collapsed="false">
      <c r="A92" s="2" t="s">
        <v>61</v>
      </c>
      <c r="B92" s="2" t="s">
        <v>365</v>
      </c>
      <c r="C92" s="2" t="s">
        <v>103</v>
      </c>
      <c r="D92" s="2" t="n">
        <v>40</v>
      </c>
      <c r="E92" s="2"/>
      <c r="F92" s="5" t="n">
        <v>0</v>
      </c>
      <c r="G92" s="2"/>
    </row>
    <row r="93" customFormat="false" ht="15" hidden="false" customHeight="false" outlineLevel="0" collapsed="false">
      <c r="A93" s="2" t="s">
        <v>61</v>
      </c>
      <c r="B93" s="2" t="s">
        <v>366</v>
      </c>
      <c r="C93" s="2" t="s">
        <v>103</v>
      </c>
      <c r="D93" s="2" t="n">
        <v>40</v>
      </c>
      <c r="E93" s="2" t="n">
        <v>11</v>
      </c>
      <c r="F93" s="5" t="n">
        <v>0.49</v>
      </c>
      <c r="G93" s="2" t="s">
        <v>84</v>
      </c>
    </row>
    <row r="94" customFormat="false" ht="15" hidden="false" customHeight="false" outlineLevel="0" collapsed="false">
      <c r="A94" s="2" t="s">
        <v>61</v>
      </c>
      <c r="B94" s="2" t="s">
        <v>367</v>
      </c>
      <c r="C94" s="2" t="s">
        <v>103</v>
      </c>
      <c r="D94" s="2" t="n">
        <v>30</v>
      </c>
      <c r="E94" s="2"/>
      <c r="F94" s="5" t="n">
        <v>0</v>
      </c>
      <c r="G94" s="2"/>
    </row>
    <row r="95" customFormat="false" ht="15" hidden="false" customHeight="false" outlineLevel="0" collapsed="false">
      <c r="A95" s="2" t="s">
        <v>61</v>
      </c>
      <c r="B95" s="2" t="s">
        <v>368</v>
      </c>
      <c r="C95" s="2" t="s">
        <v>103</v>
      </c>
      <c r="D95" s="2" t="n">
        <v>30</v>
      </c>
      <c r="E95" s="2"/>
      <c r="F95" s="5" t="n">
        <v>0</v>
      </c>
      <c r="G95" s="2"/>
    </row>
    <row r="96" customFormat="false" ht="15" hidden="false" customHeight="false" outlineLevel="0" collapsed="false">
      <c r="A96" s="2" t="s">
        <v>61</v>
      </c>
      <c r="B96" s="2" t="s">
        <v>369</v>
      </c>
      <c r="C96" s="2" t="s">
        <v>103</v>
      </c>
      <c r="D96" s="2" t="n">
        <v>20</v>
      </c>
      <c r="E96" s="2"/>
      <c r="F96" s="5" t="n">
        <v>0.54</v>
      </c>
      <c r="G96" s="2"/>
    </row>
    <row r="97" customFormat="false" ht="15" hidden="false" customHeight="false" outlineLevel="0" collapsed="false">
      <c r="A97" s="2" t="s">
        <v>61</v>
      </c>
      <c r="B97" s="2" t="s">
        <v>370</v>
      </c>
      <c r="C97" s="2" t="s">
        <v>103</v>
      </c>
      <c r="D97" s="2" t="n">
        <v>20</v>
      </c>
      <c r="E97" s="2"/>
      <c r="F97" s="5" t="n">
        <v>0.33</v>
      </c>
      <c r="G97" s="2"/>
    </row>
    <row r="98" customFormat="false" ht="15" hidden="false" customHeight="false" outlineLevel="0" collapsed="false">
      <c r="A98" s="2" t="s">
        <v>61</v>
      </c>
      <c r="B98" s="2" t="s">
        <v>371</v>
      </c>
      <c r="C98" s="2" t="s">
        <v>103</v>
      </c>
      <c r="D98" s="2" t="n">
        <v>20</v>
      </c>
      <c r="E98" s="2"/>
      <c r="F98" s="5" t="n">
        <v>0</v>
      </c>
      <c r="G98" s="2"/>
    </row>
    <row r="99" customFormat="false" ht="15" hidden="false" customHeight="false" outlineLevel="0" collapsed="false">
      <c r="A99" s="2" t="s">
        <v>61</v>
      </c>
      <c r="B99" s="2" t="s">
        <v>372</v>
      </c>
      <c r="C99" s="2" t="s">
        <v>103</v>
      </c>
      <c r="D99" s="2" t="n">
        <v>20</v>
      </c>
      <c r="E99" s="2"/>
      <c r="F99" s="5" t="n">
        <v>0</v>
      </c>
      <c r="G99" s="2"/>
    </row>
    <row r="100" customFormat="false" ht="15" hidden="false" customHeight="false" outlineLevel="0" collapsed="false">
      <c r="A100" s="2" t="s">
        <v>61</v>
      </c>
      <c r="B100" s="2" t="s">
        <v>373</v>
      </c>
      <c r="C100" s="2" t="s">
        <v>103</v>
      </c>
      <c r="D100" s="2" t="n">
        <v>20</v>
      </c>
      <c r="E100" s="2"/>
      <c r="F100" s="5" t="n">
        <v>0</v>
      </c>
      <c r="G100" s="2"/>
    </row>
    <row r="101" customFormat="false" ht="15" hidden="false" customHeight="false" outlineLevel="0" collapsed="false">
      <c r="A101" s="2" t="s">
        <v>61</v>
      </c>
      <c r="B101" s="2" t="s">
        <v>374</v>
      </c>
      <c r="C101" s="2" t="s">
        <v>103</v>
      </c>
      <c r="D101" s="2" t="n">
        <v>20</v>
      </c>
      <c r="E101" s="2"/>
      <c r="F101" s="5" t="n">
        <v>0</v>
      </c>
      <c r="G101" s="2"/>
    </row>
    <row r="102" customFormat="false" ht="15" hidden="false" customHeight="false" outlineLevel="0" collapsed="false">
      <c r="A102" s="2" t="s">
        <v>61</v>
      </c>
      <c r="B102" s="2" t="s">
        <v>375</v>
      </c>
      <c r="C102" s="2" t="s">
        <v>103</v>
      </c>
      <c r="D102" s="2" t="n">
        <v>20</v>
      </c>
      <c r="E102" s="2"/>
      <c r="F102" s="5" t="n">
        <v>0</v>
      </c>
      <c r="G102" s="2"/>
    </row>
    <row r="103" customFormat="false" ht="15" hidden="false" customHeight="false" outlineLevel="0" collapsed="false">
      <c r="A103" s="2" t="s">
        <v>61</v>
      </c>
      <c r="B103" s="2" t="s">
        <v>137</v>
      </c>
      <c r="C103" s="2" t="s">
        <v>105</v>
      </c>
      <c r="D103" s="2" t="n">
        <v>210</v>
      </c>
      <c r="E103" s="2" t="n">
        <v>6</v>
      </c>
      <c r="F103" s="5" t="n">
        <v>0.71</v>
      </c>
      <c r="G103" s="2" t="s">
        <v>84</v>
      </c>
    </row>
    <row r="104" customFormat="false" ht="15" hidden="false" customHeight="false" outlineLevel="0" collapsed="false">
      <c r="A104" s="2" t="s">
        <v>61</v>
      </c>
      <c r="B104" s="2" t="s">
        <v>172</v>
      </c>
      <c r="C104" s="2" t="s">
        <v>105</v>
      </c>
      <c r="D104" s="2" t="n">
        <v>110</v>
      </c>
      <c r="E104" s="2" t="n">
        <v>5</v>
      </c>
      <c r="F104" s="5" t="n">
        <v>0.68</v>
      </c>
      <c r="G104" s="2" t="s">
        <v>84</v>
      </c>
    </row>
    <row r="105" customFormat="false" ht="15" hidden="false" customHeight="false" outlineLevel="0" collapsed="false">
      <c r="A105" s="2" t="s">
        <v>61</v>
      </c>
      <c r="B105" s="2" t="s">
        <v>262</v>
      </c>
      <c r="C105" s="2" t="s">
        <v>105</v>
      </c>
      <c r="D105" s="2" t="n">
        <v>90</v>
      </c>
      <c r="E105" s="2" t="n">
        <v>41</v>
      </c>
      <c r="F105" s="5" t="n">
        <v>0.83</v>
      </c>
      <c r="G105" s="2" t="s">
        <v>85</v>
      </c>
    </row>
    <row r="106" customFormat="false" ht="15" hidden="false" customHeight="false" outlineLevel="0" collapsed="false">
      <c r="A106" s="2" t="s">
        <v>61</v>
      </c>
      <c r="B106" s="2" t="s">
        <v>230</v>
      </c>
      <c r="C106" s="2" t="s">
        <v>105</v>
      </c>
      <c r="D106" s="2" t="n">
        <v>90</v>
      </c>
      <c r="E106" s="2" t="n">
        <v>7</v>
      </c>
      <c r="F106" s="5" t="n">
        <v>0.62</v>
      </c>
      <c r="G106" s="2" t="s">
        <v>85</v>
      </c>
    </row>
    <row r="107" customFormat="false" ht="15" hidden="false" customHeight="false" outlineLevel="0" collapsed="false">
      <c r="A107" s="2" t="s">
        <v>61</v>
      </c>
      <c r="B107" s="2" t="s">
        <v>284</v>
      </c>
      <c r="C107" s="2" t="s">
        <v>105</v>
      </c>
      <c r="D107" s="2" t="n">
        <v>70</v>
      </c>
      <c r="E107" s="2" t="n">
        <v>28</v>
      </c>
      <c r="F107" s="5" t="n">
        <v>0.83</v>
      </c>
      <c r="G107" s="2" t="s">
        <v>85</v>
      </c>
    </row>
    <row r="108" customFormat="false" ht="15" hidden="false" customHeight="false" outlineLevel="0" collapsed="false">
      <c r="A108" s="2" t="s">
        <v>61</v>
      </c>
      <c r="B108" s="2" t="s">
        <v>376</v>
      </c>
      <c r="C108" s="2" t="s">
        <v>105</v>
      </c>
      <c r="D108" s="2" t="n">
        <v>30</v>
      </c>
      <c r="E108" s="2"/>
      <c r="F108" s="5" t="n">
        <v>0</v>
      </c>
      <c r="G108" s="2"/>
    </row>
    <row r="109" customFormat="false" ht="15" hidden="false" customHeight="false" outlineLevel="0" collapsed="false">
      <c r="A109" s="2" t="s">
        <v>61</v>
      </c>
      <c r="B109" s="2" t="s">
        <v>377</v>
      </c>
      <c r="C109" s="2" t="s">
        <v>105</v>
      </c>
      <c r="D109" s="2" t="n">
        <v>30</v>
      </c>
      <c r="E109" s="2"/>
      <c r="F109" s="5" t="n">
        <v>0</v>
      </c>
      <c r="G109" s="2"/>
    </row>
    <row r="110" customFormat="false" ht="15" hidden="false" customHeight="false" outlineLevel="0" collapsed="false">
      <c r="A110" s="2" t="s">
        <v>61</v>
      </c>
      <c r="B110" s="2" t="s">
        <v>378</v>
      </c>
      <c r="C110" s="2" t="s">
        <v>105</v>
      </c>
      <c r="D110" s="2" t="n">
        <v>30</v>
      </c>
      <c r="E110" s="2"/>
      <c r="F110" s="5" t="n">
        <v>0.72</v>
      </c>
      <c r="G110" s="2"/>
    </row>
    <row r="111" customFormat="false" ht="15" hidden="false" customHeight="false" outlineLevel="0" collapsed="false">
      <c r="A111" s="2" t="s">
        <v>61</v>
      </c>
      <c r="B111" s="2" t="s">
        <v>379</v>
      </c>
      <c r="C111" s="2" t="s">
        <v>105</v>
      </c>
      <c r="D111" s="2" t="n">
        <v>30</v>
      </c>
      <c r="E111" s="2"/>
      <c r="F111" s="5" t="n">
        <v>0</v>
      </c>
      <c r="G111" s="2"/>
    </row>
    <row r="112" customFormat="false" ht="15" hidden="false" customHeight="false" outlineLevel="0" collapsed="false">
      <c r="A112" s="2" t="s">
        <v>61</v>
      </c>
      <c r="B112" s="2" t="s">
        <v>380</v>
      </c>
      <c r="C112" s="2" t="s">
        <v>105</v>
      </c>
      <c r="D112" s="2" t="n">
        <v>20</v>
      </c>
      <c r="E112" s="2"/>
      <c r="F112" s="5" t="n">
        <v>0</v>
      </c>
      <c r="G112" s="2"/>
    </row>
    <row r="113" customFormat="false" ht="15" hidden="false" customHeight="false" outlineLevel="0" collapsed="false">
      <c r="A113" s="2" t="s">
        <v>61</v>
      </c>
      <c r="B113" s="2" t="s">
        <v>381</v>
      </c>
      <c r="C113" s="2" t="s">
        <v>105</v>
      </c>
      <c r="D113" s="2" t="n">
        <v>20</v>
      </c>
      <c r="E113" s="2"/>
      <c r="F113" s="5" t="n">
        <v>0.51</v>
      </c>
      <c r="G113" s="2"/>
    </row>
    <row r="114" customFormat="false" ht="15" hidden="false" customHeight="false" outlineLevel="0" collapsed="false">
      <c r="A114" s="2" t="s">
        <v>61</v>
      </c>
      <c r="B114" s="2" t="s">
        <v>382</v>
      </c>
      <c r="C114" s="2" t="s">
        <v>105</v>
      </c>
      <c r="D114" s="2" t="n">
        <v>20</v>
      </c>
      <c r="E114" s="2"/>
      <c r="F114" s="5" t="n">
        <v>0.35</v>
      </c>
      <c r="G114" s="2"/>
    </row>
    <row r="115" customFormat="false" ht="15" hidden="false" customHeight="false" outlineLevel="0" collapsed="false">
      <c r="A115" s="2" t="s">
        <v>61</v>
      </c>
      <c r="B115" s="2" t="s">
        <v>383</v>
      </c>
      <c r="C115" s="2" t="s">
        <v>105</v>
      </c>
      <c r="D115" s="2" t="n">
        <v>20</v>
      </c>
      <c r="E115" s="2"/>
      <c r="F115" s="5" t="n">
        <v>0</v>
      </c>
      <c r="G115" s="2"/>
    </row>
    <row r="116" customFormat="false" ht="15" hidden="false" customHeight="false" outlineLevel="0" collapsed="false">
      <c r="A116" s="2" t="s">
        <v>61</v>
      </c>
      <c r="B116" s="2" t="s">
        <v>384</v>
      </c>
      <c r="C116" s="2" t="s">
        <v>105</v>
      </c>
      <c r="D116" s="2" t="n">
        <v>20</v>
      </c>
      <c r="E116" s="2"/>
      <c r="F116" s="5" t="n">
        <v>0.68</v>
      </c>
      <c r="G116" s="2"/>
    </row>
    <row r="117" customFormat="false" ht="15" hidden="false" customHeight="false" outlineLevel="0" collapsed="false">
      <c r="A117" s="2" t="s">
        <v>61</v>
      </c>
      <c r="B117" s="2" t="s">
        <v>385</v>
      </c>
      <c r="C117" s="2" t="s">
        <v>105</v>
      </c>
      <c r="D117" s="2" t="n">
        <v>20</v>
      </c>
      <c r="E117" s="2"/>
      <c r="F117" s="5" t="n">
        <v>3.57</v>
      </c>
      <c r="G117" s="2"/>
    </row>
    <row r="118" customFormat="false" ht="15" hidden="false" customHeight="false" outlineLevel="0" collapsed="false">
      <c r="A118" s="2" t="s">
        <v>61</v>
      </c>
      <c r="B118" s="2" t="s">
        <v>386</v>
      </c>
      <c r="C118" s="2" t="s">
        <v>105</v>
      </c>
      <c r="D118" s="2" t="n">
        <v>20</v>
      </c>
      <c r="E118" s="2"/>
      <c r="F118" s="5" t="n">
        <v>0.86</v>
      </c>
      <c r="G118" s="2"/>
    </row>
    <row r="119" customFormat="false" ht="15" hidden="false" customHeight="false" outlineLevel="0" collapsed="false">
      <c r="A119" s="2" t="s">
        <v>61</v>
      </c>
      <c r="B119" s="2" t="s">
        <v>387</v>
      </c>
      <c r="C119" s="2" t="s">
        <v>105</v>
      </c>
      <c r="D119" s="2" t="n">
        <v>20</v>
      </c>
      <c r="E119" s="2"/>
      <c r="F119" s="5" t="n">
        <v>0.29</v>
      </c>
      <c r="G119" s="2"/>
    </row>
    <row r="120" customFormat="false" ht="15" hidden="false" customHeight="false" outlineLevel="0" collapsed="false">
      <c r="A120" s="2" t="s">
        <v>61</v>
      </c>
      <c r="B120" s="2" t="s">
        <v>388</v>
      </c>
      <c r="C120" s="2" t="s">
        <v>105</v>
      </c>
      <c r="D120" s="2" t="n">
        <v>20</v>
      </c>
      <c r="E120" s="2"/>
      <c r="F120" s="5" t="n">
        <v>0</v>
      </c>
      <c r="G120" s="2"/>
    </row>
    <row r="121" customFormat="false" ht="15" hidden="false" customHeight="false" outlineLevel="0" collapsed="false">
      <c r="A121" s="2" t="s">
        <v>61</v>
      </c>
      <c r="B121" s="2" t="s">
        <v>389</v>
      </c>
      <c r="C121" s="2" t="s">
        <v>105</v>
      </c>
      <c r="D121" s="2" t="n">
        <v>20</v>
      </c>
      <c r="E121" s="2"/>
      <c r="F121" s="5" t="n">
        <v>0</v>
      </c>
      <c r="G121" s="2"/>
    </row>
    <row r="122" customFormat="false" ht="15" hidden="false" customHeight="false" outlineLevel="0" collapsed="false">
      <c r="A122" s="2" t="s">
        <v>61</v>
      </c>
      <c r="B122" s="2" t="s">
        <v>390</v>
      </c>
      <c r="C122" s="2" t="s">
        <v>105</v>
      </c>
      <c r="D122" s="2" t="n">
        <v>20</v>
      </c>
      <c r="E122" s="2"/>
      <c r="F122" s="5" t="n">
        <v>0</v>
      </c>
      <c r="G122" s="2"/>
    </row>
    <row r="123" customFormat="false" ht="15" hidden="false" customHeight="false" outlineLevel="0" collapsed="false">
      <c r="A123" s="2" t="s">
        <v>61</v>
      </c>
      <c r="B123" s="2" t="s">
        <v>391</v>
      </c>
      <c r="C123" s="2" t="s">
        <v>105</v>
      </c>
      <c r="D123" s="2" t="n">
        <v>20</v>
      </c>
      <c r="E123" s="2"/>
      <c r="F123" s="5" t="n">
        <v>0.68</v>
      </c>
      <c r="G123" s="2"/>
    </row>
    <row r="124" customFormat="false" ht="15" hidden="false" customHeight="false" outlineLevel="0" collapsed="false">
      <c r="A124" s="2" t="s">
        <v>61</v>
      </c>
      <c r="B124" s="2" t="s">
        <v>392</v>
      </c>
      <c r="C124" s="2" t="s">
        <v>105</v>
      </c>
      <c r="D124" s="2" t="n">
        <v>20</v>
      </c>
      <c r="E124" s="2"/>
      <c r="F124" s="5" t="n">
        <v>0</v>
      </c>
      <c r="G124" s="2"/>
    </row>
    <row r="125" customFormat="false" ht="15" hidden="false" customHeight="false" outlineLevel="0" collapsed="false">
      <c r="A125" s="2" t="s">
        <v>61</v>
      </c>
      <c r="B125" s="2" t="s">
        <v>393</v>
      </c>
      <c r="C125" s="2" t="s">
        <v>105</v>
      </c>
      <c r="D125" s="2" t="n">
        <v>20</v>
      </c>
      <c r="E125" s="2"/>
      <c r="F125" s="5" t="n">
        <v>0</v>
      </c>
      <c r="G125" s="2"/>
    </row>
    <row r="126" customFormat="false" ht="15" hidden="false" customHeight="false" outlineLevel="0" collapsed="false">
      <c r="A126" s="2" t="s">
        <v>61</v>
      </c>
      <c r="B126" s="2" t="s">
        <v>394</v>
      </c>
      <c r="C126" s="2" t="s">
        <v>105</v>
      </c>
      <c r="D126" s="2" t="n">
        <v>20</v>
      </c>
      <c r="E126" s="2"/>
      <c r="F126" s="5" t="n">
        <v>0</v>
      </c>
      <c r="G126" s="2"/>
    </row>
    <row r="127" customFormat="false" ht="15" hidden="false" customHeight="false" outlineLevel="0" collapsed="false">
      <c r="A127" s="2" t="s">
        <v>58</v>
      </c>
      <c r="B127" s="2" t="s">
        <v>60</v>
      </c>
      <c r="C127" s="2" t="s">
        <v>103</v>
      </c>
      <c r="D127" s="2" t="n">
        <v>90</v>
      </c>
      <c r="E127" s="2" t="n">
        <v>0</v>
      </c>
      <c r="F127" s="5" t="n">
        <v>0.65</v>
      </c>
      <c r="G127" s="2" t="s">
        <v>84</v>
      </c>
    </row>
    <row r="128" customFormat="false" ht="15" hidden="false" customHeight="false" outlineLevel="0" collapsed="false">
      <c r="A128" s="2" t="s">
        <v>58</v>
      </c>
      <c r="B128" s="2" t="s">
        <v>395</v>
      </c>
      <c r="C128" s="2" t="s">
        <v>103</v>
      </c>
      <c r="D128" s="2" t="n">
        <v>70</v>
      </c>
      <c r="E128" s="2" t="n">
        <v>13</v>
      </c>
      <c r="F128" s="5" t="n">
        <v>0.65</v>
      </c>
      <c r="G128" s="2" t="s">
        <v>84</v>
      </c>
    </row>
    <row r="129" customFormat="false" ht="15" hidden="false" customHeight="false" outlineLevel="0" collapsed="false">
      <c r="A129" s="2" t="s">
        <v>58</v>
      </c>
      <c r="B129" s="2" t="s">
        <v>396</v>
      </c>
      <c r="C129" s="2" t="s">
        <v>103</v>
      </c>
      <c r="D129" s="2" t="n">
        <v>50</v>
      </c>
      <c r="E129" s="2" t="n">
        <v>7</v>
      </c>
      <c r="F129" s="5" t="n">
        <v>0.68</v>
      </c>
      <c r="G129" s="2" t="s">
        <v>84</v>
      </c>
    </row>
    <row r="130" customFormat="false" ht="15" hidden="false" customHeight="false" outlineLevel="0" collapsed="false">
      <c r="A130" s="2" t="s">
        <v>58</v>
      </c>
      <c r="B130" s="2" t="s">
        <v>289</v>
      </c>
      <c r="C130" s="2" t="s">
        <v>103</v>
      </c>
      <c r="D130" s="2" t="n">
        <v>50</v>
      </c>
      <c r="E130" s="2" t="n">
        <v>18</v>
      </c>
      <c r="F130" s="5" t="n">
        <v>0.38</v>
      </c>
      <c r="G130" s="2" t="s">
        <v>85</v>
      </c>
    </row>
    <row r="131" customFormat="false" ht="15" hidden="false" customHeight="false" outlineLevel="0" collapsed="false">
      <c r="A131" s="2" t="s">
        <v>58</v>
      </c>
      <c r="B131" s="2" t="s">
        <v>397</v>
      </c>
      <c r="C131" s="2" t="s">
        <v>103</v>
      </c>
      <c r="D131" s="2" t="n">
        <v>30</v>
      </c>
      <c r="E131" s="2"/>
      <c r="F131" s="5" t="n">
        <v>0.48</v>
      </c>
      <c r="G131" s="2"/>
    </row>
    <row r="132" customFormat="false" ht="15" hidden="false" customHeight="false" outlineLevel="0" collapsed="false">
      <c r="A132" s="2" t="s">
        <v>58</v>
      </c>
      <c r="B132" s="2" t="s">
        <v>398</v>
      </c>
      <c r="C132" s="2" t="s">
        <v>103</v>
      </c>
      <c r="D132" s="2" t="n">
        <v>30</v>
      </c>
      <c r="E132" s="2"/>
      <c r="F132" s="5" t="n">
        <v>0.38</v>
      </c>
      <c r="G132" s="2"/>
    </row>
    <row r="133" customFormat="false" ht="15" hidden="false" customHeight="false" outlineLevel="0" collapsed="false">
      <c r="A133" s="2" t="s">
        <v>58</v>
      </c>
      <c r="B133" s="2" t="s">
        <v>399</v>
      </c>
      <c r="C133" s="2" t="s">
        <v>103</v>
      </c>
      <c r="D133" s="2" t="n">
        <v>30</v>
      </c>
      <c r="E133" s="2"/>
      <c r="F133" s="5" t="n">
        <v>0</v>
      </c>
      <c r="G133" s="2"/>
    </row>
    <row r="134" customFormat="false" ht="15" hidden="false" customHeight="false" outlineLevel="0" collapsed="false">
      <c r="A134" s="2" t="s">
        <v>58</v>
      </c>
      <c r="B134" s="2" t="s">
        <v>400</v>
      </c>
      <c r="C134" s="2" t="s">
        <v>103</v>
      </c>
      <c r="D134" s="2" t="n">
        <v>20</v>
      </c>
      <c r="E134" s="2"/>
      <c r="F134" s="5" t="n">
        <v>0.76</v>
      </c>
      <c r="G134" s="2"/>
    </row>
    <row r="135" customFormat="false" ht="15" hidden="false" customHeight="false" outlineLevel="0" collapsed="false">
      <c r="A135" s="2" t="s">
        <v>58</v>
      </c>
      <c r="B135" s="2" t="s">
        <v>401</v>
      </c>
      <c r="C135" s="2" t="s">
        <v>103</v>
      </c>
      <c r="D135" s="2" t="n">
        <v>20</v>
      </c>
      <c r="E135" s="2"/>
      <c r="F135" s="5" t="n">
        <v>0.74</v>
      </c>
      <c r="G135" s="2"/>
    </row>
    <row r="136" customFormat="false" ht="15" hidden="false" customHeight="false" outlineLevel="0" collapsed="false">
      <c r="A136" s="2" t="s">
        <v>58</v>
      </c>
      <c r="B136" s="2" t="s">
        <v>402</v>
      </c>
      <c r="C136" s="2" t="s">
        <v>103</v>
      </c>
      <c r="D136" s="2" t="n">
        <v>20</v>
      </c>
      <c r="E136" s="2"/>
      <c r="F136" s="5" t="n">
        <v>0.74</v>
      </c>
      <c r="G136" s="2"/>
    </row>
    <row r="137" customFormat="false" ht="15" hidden="false" customHeight="false" outlineLevel="0" collapsed="false">
      <c r="A137" s="2" t="s">
        <v>58</v>
      </c>
      <c r="B137" s="2" t="s">
        <v>403</v>
      </c>
      <c r="C137" s="2" t="s">
        <v>103</v>
      </c>
      <c r="D137" s="2" t="n">
        <v>20</v>
      </c>
      <c r="E137" s="2"/>
      <c r="F137" s="5" t="n">
        <v>0.73</v>
      </c>
      <c r="G137" s="2"/>
    </row>
    <row r="138" customFormat="false" ht="15" hidden="false" customHeight="false" outlineLevel="0" collapsed="false">
      <c r="A138" s="2" t="s">
        <v>58</v>
      </c>
      <c r="B138" s="2" t="s">
        <v>404</v>
      </c>
      <c r="C138" s="2" t="s">
        <v>103</v>
      </c>
      <c r="D138" s="2" t="n">
        <v>20</v>
      </c>
      <c r="E138" s="2"/>
      <c r="F138" s="5" t="n">
        <v>0</v>
      </c>
      <c r="G138" s="2"/>
    </row>
    <row r="139" customFormat="false" ht="15" hidden="false" customHeight="false" outlineLevel="0" collapsed="false">
      <c r="A139" s="2" t="s">
        <v>58</v>
      </c>
      <c r="B139" s="2" t="s">
        <v>405</v>
      </c>
      <c r="C139" s="2" t="s">
        <v>103</v>
      </c>
      <c r="D139" s="2" t="n">
        <v>20</v>
      </c>
      <c r="E139" s="2"/>
      <c r="F139" s="5" t="n">
        <v>0</v>
      </c>
      <c r="G139" s="2"/>
    </row>
    <row r="140" customFormat="false" ht="15" hidden="false" customHeight="false" outlineLevel="0" collapsed="false">
      <c r="A140" s="2" t="s">
        <v>58</v>
      </c>
      <c r="B140" s="2" t="s">
        <v>406</v>
      </c>
      <c r="C140" s="2" t="s">
        <v>103</v>
      </c>
      <c r="D140" s="2" t="n">
        <v>20</v>
      </c>
      <c r="E140" s="2"/>
      <c r="F140" s="5" t="n">
        <v>0</v>
      </c>
      <c r="G140" s="2"/>
    </row>
    <row r="141" customFormat="false" ht="15" hidden="false" customHeight="false" outlineLevel="0" collapsed="false">
      <c r="A141" s="2" t="s">
        <v>58</v>
      </c>
      <c r="B141" s="2" t="s">
        <v>144</v>
      </c>
      <c r="C141" s="2" t="s">
        <v>105</v>
      </c>
      <c r="D141" s="2" t="n">
        <v>210</v>
      </c>
      <c r="E141" s="2" t="n">
        <v>6</v>
      </c>
      <c r="F141" s="5" t="n">
        <v>0.57</v>
      </c>
      <c r="G141" s="2" t="s">
        <v>84</v>
      </c>
    </row>
    <row r="142" customFormat="false" ht="15" hidden="false" customHeight="false" outlineLevel="0" collapsed="false">
      <c r="A142" s="2" t="s">
        <v>58</v>
      </c>
      <c r="B142" s="2" t="s">
        <v>234</v>
      </c>
      <c r="C142" s="2" t="s">
        <v>105</v>
      </c>
      <c r="D142" s="2" t="n">
        <v>90</v>
      </c>
      <c r="E142" s="2" t="n">
        <v>9</v>
      </c>
      <c r="F142" s="5" t="n">
        <v>0.84</v>
      </c>
      <c r="G142" s="2" t="s">
        <v>85</v>
      </c>
    </row>
    <row r="143" customFormat="false" ht="15" hidden="false" customHeight="false" outlineLevel="0" collapsed="false">
      <c r="A143" s="2" t="s">
        <v>58</v>
      </c>
      <c r="B143" s="2" t="s">
        <v>260</v>
      </c>
      <c r="C143" s="2" t="s">
        <v>105</v>
      </c>
      <c r="D143" s="2" t="n">
        <v>50</v>
      </c>
      <c r="E143" s="2" t="n">
        <v>5</v>
      </c>
      <c r="F143" s="5" t="n">
        <v>0.71</v>
      </c>
      <c r="G143" s="2" t="s">
        <v>84</v>
      </c>
    </row>
    <row r="144" customFormat="false" ht="15" hidden="false" customHeight="false" outlineLevel="0" collapsed="false">
      <c r="A144" s="2" t="s">
        <v>58</v>
      </c>
      <c r="B144" s="2" t="s">
        <v>407</v>
      </c>
      <c r="C144" s="2" t="s">
        <v>105</v>
      </c>
      <c r="D144" s="2" t="n">
        <v>30</v>
      </c>
      <c r="E144" s="2"/>
      <c r="F144" s="5" t="n">
        <v>0.57</v>
      </c>
      <c r="G144" s="2"/>
    </row>
    <row r="145" customFormat="false" ht="15" hidden="false" customHeight="false" outlineLevel="0" collapsed="false">
      <c r="A145" s="2" t="s">
        <v>58</v>
      </c>
      <c r="B145" s="2" t="s">
        <v>408</v>
      </c>
      <c r="C145" s="2" t="s">
        <v>105</v>
      </c>
      <c r="D145" s="2" t="n">
        <v>30</v>
      </c>
      <c r="E145" s="2"/>
      <c r="F145" s="5" t="n">
        <v>0.84</v>
      </c>
      <c r="G145" s="2"/>
    </row>
    <row r="146" customFormat="false" ht="15" hidden="false" customHeight="false" outlineLevel="0" collapsed="false">
      <c r="A146" s="2" t="s">
        <v>58</v>
      </c>
      <c r="B146" s="2" t="s">
        <v>409</v>
      </c>
      <c r="C146" s="2" t="s">
        <v>105</v>
      </c>
      <c r="D146" s="2" t="n">
        <v>30</v>
      </c>
      <c r="E146" s="2"/>
      <c r="F146" s="5" t="n">
        <v>1.33</v>
      </c>
      <c r="G146" s="2"/>
    </row>
    <row r="147" customFormat="false" ht="15" hidden="false" customHeight="false" outlineLevel="0" collapsed="false">
      <c r="A147" s="2" t="s">
        <v>58</v>
      </c>
      <c r="B147" s="2" t="s">
        <v>410</v>
      </c>
      <c r="C147" s="2" t="s">
        <v>105</v>
      </c>
      <c r="D147" s="2" t="n">
        <v>20</v>
      </c>
      <c r="E147" s="2"/>
      <c r="F147" s="5" t="n">
        <v>0.45</v>
      </c>
      <c r="G147" s="2"/>
    </row>
    <row r="148" customFormat="false" ht="15" hidden="false" customHeight="false" outlineLevel="0" collapsed="false">
      <c r="A148" s="2" t="s">
        <v>58</v>
      </c>
      <c r="B148" s="2" t="s">
        <v>411</v>
      </c>
      <c r="C148" s="2" t="s">
        <v>105</v>
      </c>
      <c r="D148" s="2" t="n">
        <v>20</v>
      </c>
      <c r="E148" s="2"/>
      <c r="F148" s="5" t="n">
        <v>0.94</v>
      </c>
      <c r="G148" s="2"/>
    </row>
    <row r="149" customFormat="false" ht="15" hidden="false" customHeight="false" outlineLevel="0" collapsed="false">
      <c r="A149" s="2" t="s">
        <v>58</v>
      </c>
      <c r="B149" s="2" t="s">
        <v>412</v>
      </c>
      <c r="C149" s="2" t="s">
        <v>105</v>
      </c>
      <c r="D149" s="2" t="n">
        <v>20</v>
      </c>
      <c r="E149" s="2"/>
      <c r="F149" s="5" t="n">
        <v>0.48</v>
      </c>
      <c r="G149" s="2"/>
    </row>
    <row r="150" customFormat="false" ht="15" hidden="false" customHeight="false" outlineLevel="0" collapsed="false">
      <c r="A150" s="2" t="s">
        <v>58</v>
      </c>
      <c r="B150" s="2" t="s">
        <v>413</v>
      </c>
      <c r="C150" s="2" t="s">
        <v>105</v>
      </c>
      <c r="D150" s="2" t="n">
        <v>20</v>
      </c>
      <c r="E150" s="2"/>
      <c r="F150" s="5" t="n">
        <v>0</v>
      </c>
      <c r="G150" s="2"/>
    </row>
    <row r="151" customFormat="false" ht="15" hidden="false" customHeight="false" outlineLevel="0" collapsed="false">
      <c r="A151" s="2" t="s">
        <v>58</v>
      </c>
      <c r="B151" s="2" t="s">
        <v>414</v>
      </c>
      <c r="C151" s="2" t="s">
        <v>105</v>
      </c>
      <c r="D151" s="2" t="n">
        <v>20</v>
      </c>
      <c r="E151" s="2"/>
      <c r="F151" s="5" t="n">
        <v>0</v>
      </c>
      <c r="G151" s="2"/>
    </row>
    <row r="152" customFormat="false" ht="15" hidden="false" customHeight="false" outlineLevel="0" collapsed="false">
      <c r="A152" s="2" t="s">
        <v>58</v>
      </c>
      <c r="B152" s="2" t="s">
        <v>415</v>
      </c>
      <c r="C152" s="2" t="s">
        <v>105</v>
      </c>
      <c r="D152" s="2" t="n">
        <v>20</v>
      </c>
      <c r="E152" s="2"/>
      <c r="F152" s="5" t="n">
        <v>0</v>
      </c>
      <c r="G152" s="2"/>
    </row>
    <row r="153" customFormat="false" ht="15" hidden="false" customHeight="false" outlineLevel="0" collapsed="false">
      <c r="A153" s="2" t="s">
        <v>58</v>
      </c>
      <c r="B153" s="2" t="s">
        <v>416</v>
      </c>
      <c r="C153" s="2" t="s">
        <v>105</v>
      </c>
      <c r="D153" s="2" t="n">
        <v>20</v>
      </c>
      <c r="E153" s="2"/>
      <c r="F153" s="5" t="n">
        <v>0.71</v>
      </c>
      <c r="G153" s="2"/>
    </row>
    <row r="154" customFormat="false" ht="15" hidden="false" customHeight="false" outlineLevel="0" collapsed="false">
      <c r="A154" s="2" t="s">
        <v>58</v>
      </c>
      <c r="B154" s="2" t="s">
        <v>417</v>
      </c>
      <c r="C154" s="2" t="s">
        <v>105</v>
      </c>
      <c r="D154" s="2" t="n">
        <v>20</v>
      </c>
      <c r="E154" s="2"/>
      <c r="F154" s="5" t="n">
        <v>0</v>
      </c>
      <c r="G154" s="2"/>
    </row>
    <row r="155" customFormat="false" ht="15" hidden="false" customHeight="false" outlineLevel="0" collapsed="false">
      <c r="A155" s="2" t="s">
        <v>55</v>
      </c>
      <c r="B155" s="2" t="s">
        <v>57</v>
      </c>
      <c r="C155" s="2" t="s">
        <v>103</v>
      </c>
      <c r="D155" s="2" t="n">
        <v>90</v>
      </c>
      <c r="E155" s="2" t="n">
        <v>10</v>
      </c>
      <c r="F155" s="5" t="n">
        <v>0.61</v>
      </c>
      <c r="G155" s="2" t="s">
        <v>84</v>
      </c>
    </row>
    <row r="156" customFormat="false" ht="15" hidden="false" customHeight="false" outlineLevel="0" collapsed="false">
      <c r="A156" s="2" t="s">
        <v>55</v>
      </c>
      <c r="B156" s="2" t="s">
        <v>224</v>
      </c>
      <c r="C156" s="2" t="s">
        <v>103</v>
      </c>
      <c r="D156" s="2" t="n">
        <v>90</v>
      </c>
      <c r="E156" s="2" t="n">
        <v>6</v>
      </c>
      <c r="F156" s="5" t="n">
        <v>0.61</v>
      </c>
      <c r="G156" s="2" t="s">
        <v>84</v>
      </c>
    </row>
    <row r="157" customFormat="false" ht="15" hidden="false" customHeight="false" outlineLevel="0" collapsed="false">
      <c r="A157" s="2" t="s">
        <v>55</v>
      </c>
      <c r="B157" s="2" t="s">
        <v>195</v>
      </c>
      <c r="C157" s="2" t="s">
        <v>103</v>
      </c>
      <c r="D157" s="2" t="n">
        <v>90</v>
      </c>
      <c r="E157" s="2" t="n">
        <v>2</v>
      </c>
      <c r="F157" s="5" t="n">
        <v>0.53</v>
      </c>
      <c r="G157" s="2" t="s">
        <v>84</v>
      </c>
    </row>
    <row r="158" customFormat="false" ht="15" hidden="false" customHeight="false" outlineLevel="0" collapsed="false">
      <c r="A158" s="2" t="s">
        <v>55</v>
      </c>
      <c r="B158" s="2" t="s">
        <v>418</v>
      </c>
      <c r="C158" s="2" t="s">
        <v>103</v>
      </c>
      <c r="D158" s="2" t="n">
        <v>70</v>
      </c>
      <c r="E158" s="2" t="n">
        <v>15</v>
      </c>
      <c r="F158" s="5" t="n">
        <v>0.7</v>
      </c>
      <c r="G158" s="2" t="s">
        <v>84</v>
      </c>
    </row>
    <row r="159" customFormat="false" ht="15" hidden="false" customHeight="false" outlineLevel="0" collapsed="false">
      <c r="A159" s="2" t="s">
        <v>55</v>
      </c>
      <c r="B159" s="2" t="s">
        <v>419</v>
      </c>
      <c r="C159" s="2" t="s">
        <v>103</v>
      </c>
      <c r="D159" s="2" t="n">
        <v>30</v>
      </c>
      <c r="E159" s="2"/>
      <c r="F159" s="5" t="n">
        <v>0</v>
      </c>
      <c r="G159" s="2"/>
    </row>
    <row r="160" customFormat="false" ht="15" hidden="false" customHeight="false" outlineLevel="0" collapsed="false">
      <c r="A160" s="2" t="s">
        <v>55</v>
      </c>
      <c r="B160" s="2" t="s">
        <v>420</v>
      </c>
      <c r="C160" s="2" t="s">
        <v>103</v>
      </c>
      <c r="D160" s="2" t="n">
        <v>30</v>
      </c>
      <c r="E160" s="2"/>
      <c r="F160" s="5" t="n">
        <v>0.42</v>
      </c>
      <c r="G160" s="2"/>
    </row>
    <row r="161" customFormat="false" ht="15" hidden="false" customHeight="false" outlineLevel="0" collapsed="false">
      <c r="A161" s="2" t="s">
        <v>55</v>
      </c>
      <c r="B161" s="2" t="s">
        <v>421</v>
      </c>
      <c r="C161" s="2" t="s">
        <v>103</v>
      </c>
      <c r="D161" s="2" t="n">
        <v>30</v>
      </c>
      <c r="E161" s="2"/>
      <c r="F161" s="5" t="n">
        <v>0</v>
      </c>
      <c r="G161" s="2"/>
    </row>
    <row r="162" customFormat="false" ht="15" hidden="false" customHeight="false" outlineLevel="0" collapsed="false">
      <c r="A162" s="2" t="s">
        <v>55</v>
      </c>
      <c r="B162" s="2" t="s">
        <v>422</v>
      </c>
      <c r="C162" s="2" t="s">
        <v>103</v>
      </c>
      <c r="D162" s="2" t="n">
        <v>30</v>
      </c>
      <c r="E162" s="2"/>
      <c r="F162" s="5" t="n">
        <v>0</v>
      </c>
      <c r="G162" s="2"/>
    </row>
    <row r="163" customFormat="false" ht="15" hidden="false" customHeight="false" outlineLevel="0" collapsed="false">
      <c r="A163" s="2" t="s">
        <v>55</v>
      </c>
      <c r="B163" s="2" t="s">
        <v>423</v>
      </c>
      <c r="C163" s="2" t="s">
        <v>103</v>
      </c>
      <c r="D163" s="2" t="n">
        <v>20</v>
      </c>
      <c r="E163" s="2"/>
      <c r="F163" s="5" t="n">
        <v>0</v>
      </c>
      <c r="G163" s="2"/>
    </row>
    <row r="164" customFormat="false" ht="15" hidden="false" customHeight="false" outlineLevel="0" collapsed="false">
      <c r="A164" s="2" t="s">
        <v>55</v>
      </c>
      <c r="B164" s="2" t="s">
        <v>424</v>
      </c>
      <c r="C164" s="2" t="s">
        <v>103</v>
      </c>
      <c r="D164" s="2" t="n">
        <v>20</v>
      </c>
      <c r="E164" s="2"/>
      <c r="F164" s="5" t="n">
        <v>0</v>
      </c>
      <c r="G164" s="2"/>
    </row>
    <row r="165" customFormat="false" ht="15" hidden="false" customHeight="false" outlineLevel="0" collapsed="false">
      <c r="A165" s="2" t="s">
        <v>55</v>
      </c>
      <c r="B165" s="2" t="s">
        <v>425</v>
      </c>
      <c r="C165" s="2" t="s">
        <v>103</v>
      </c>
      <c r="D165" s="2" t="n">
        <v>20</v>
      </c>
      <c r="E165" s="2"/>
      <c r="F165" s="5" t="n">
        <v>0</v>
      </c>
      <c r="G165" s="2"/>
    </row>
    <row r="166" customFormat="false" ht="15" hidden="false" customHeight="false" outlineLevel="0" collapsed="false">
      <c r="A166" s="2" t="s">
        <v>55</v>
      </c>
      <c r="B166" s="2" t="s">
        <v>146</v>
      </c>
      <c r="C166" s="2" t="s">
        <v>105</v>
      </c>
      <c r="D166" s="2" t="n">
        <v>210</v>
      </c>
      <c r="E166" s="2" t="n">
        <v>18</v>
      </c>
      <c r="F166" s="5" t="n">
        <v>0.63</v>
      </c>
      <c r="G166" s="2" t="s">
        <v>84</v>
      </c>
    </row>
    <row r="167" customFormat="false" ht="15" hidden="false" customHeight="false" outlineLevel="0" collapsed="false">
      <c r="A167" s="2" t="s">
        <v>55</v>
      </c>
      <c r="B167" s="2" t="s">
        <v>159</v>
      </c>
      <c r="C167" s="2" t="s">
        <v>105</v>
      </c>
      <c r="D167" s="2" t="n">
        <v>140</v>
      </c>
      <c r="E167" s="2" t="n">
        <v>5</v>
      </c>
      <c r="F167" s="5" t="n">
        <v>0.7</v>
      </c>
      <c r="G167" s="2" t="s">
        <v>84</v>
      </c>
    </row>
    <row r="168" customFormat="false" ht="15" hidden="false" customHeight="false" outlineLevel="0" collapsed="false">
      <c r="A168" s="2" t="s">
        <v>55</v>
      </c>
      <c r="B168" s="2" t="s">
        <v>426</v>
      </c>
      <c r="C168" s="2" t="s">
        <v>105</v>
      </c>
      <c r="D168" s="2" t="n">
        <v>40</v>
      </c>
      <c r="E168" s="2"/>
      <c r="F168" s="5" t="n">
        <v>0.61</v>
      </c>
      <c r="G168" s="2"/>
    </row>
    <row r="169" customFormat="false" ht="15" hidden="false" customHeight="false" outlineLevel="0" collapsed="false">
      <c r="A169" s="2" t="s">
        <v>55</v>
      </c>
      <c r="B169" s="2" t="s">
        <v>427</v>
      </c>
      <c r="C169" s="2" t="s">
        <v>105</v>
      </c>
      <c r="D169" s="2" t="n">
        <v>40</v>
      </c>
      <c r="E169" s="2" t="n">
        <v>5</v>
      </c>
      <c r="F169" s="5" t="n">
        <v>0.6</v>
      </c>
      <c r="G169" s="2" t="s">
        <v>84</v>
      </c>
    </row>
    <row r="170" customFormat="false" ht="15" hidden="false" customHeight="false" outlineLevel="0" collapsed="false">
      <c r="A170" s="2" t="s">
        <v>55</v>
      </c>
      <c r="B170" s="2" t="s">
        <v>428</v>
      </c>
      <c r="C170" s="2" t="s">
        <v>105</v>
      </c>
      <c r="D170" s="2" t="n">
        <v>30</v>
      </c>
      <c r="E170" s="2"/>
      <c r="F170" s="5" t="n">
        <v>0.7</v>
      </c>
      <c r="G170" s="2"/>
    </row>
    <row r="171" customFormat="false" ht="15" hidden="false" customHeight="false" outlineLevel="0" collapsed="false">
      <c r="A171" s="2" t="s">
        <v>55</v>
      </c>
      <c r="B171" s="2" t="s">
        <v>429</v>
      </c>
      <c r="C171" s="2" t="s">
        <v>105</v>
      </c>
      <c r="D171" s="2" t="n">
        <v>20</v>
      </c>
      <c r="E171" s="2"/>
      <c r="F171" s="5" t="n">
        <v>0</v>
      </c>
      <c r="G171" s="2"/>
    </row>
    <row r="172" customFormat="false" ht="15" hidden="false" customHeight="false" outlineLevel="0" collapsed="false">
      <c r="A172" s="2" t="s">
        <v>55</v>
      </c>
      <c r="B172" s="2" t="s">
        <v>430</v>
      </c>
      <c r="C172" s="2" t="s">
        <v>105</v>
      </c>
      <c r="D172" s="2" t="n">
        <v>20</v>
      </c>
      <c r="E172" s="2"/>
      <c r="F172" s="5" t="n">
        <v>4.57</v>
      </c>
      <c r="G172" s="2"/>
    </row>
    <row r="173" customFormat="false" ht="15" hidden="false" customHeight="false" outlineLevel="0" collapsed="false">
      <c r="A173" s="2" t="s">
        <v>55</v>
      </c>
      <c r="B173" s="2" t="s">
        <v>431</v>
      </c>
      <c r="C173" s="2" t="s">
        <v>105</v>
      </c>
      <c r="D173" s="2" t="n">
        <v>20</v>
      </c>
      <c r="E173" s="2"/>
      <c r="F173" s="5" t="n">
        <v>0</v>
      </c>
      <c r="G173" s="2"/>
    </row>
    <row r="174" customFormat="false" ht="15" hidden="false" customHeight="false" outlineLevel="0" collapsed="false">
      <c r="A174" s="2" t="s">
        <v>55</v>
      </c>
      <c r="B174" s="2" t="s">
        <v>432</v>
      </c>
      <c r="C174" s="2" t="s">
        <v>105</v>
      </c>
      <c r="D174" s="2" t="n">
        <v>20</v>
      </c>
      <c r="E174" s="2"/>
      <c r="F174" s="5" t="n">
        <v>0</v>
      </c>
      <c r="G174" s="2"/>
    </row>
    <row r="175" customFormat="false" ht="15" hidden="false" customHeight="false" outlineLevel="0" collapsed="false">
      <c r="A175" s="2" t="s">
        <v>55</v>
      </c>
      <c r="B175" s="2" t="s">
        <v>433</v>
      </c>
      <c r="C175" s="2" t="s">
        <v>105</v>
      </c>
      <c r="D175" s="2" t="n">
        <v>20</v>
      </c>
      <c r="E175" s="2"/>
      <c r="F175" s="5" t="n">
        <v>0</v>
      </c>
      <c r="G175" s="2"/>
    </row>
    <row r="176" customFormat="false" ht="15" hidden="false" customHeight="false" outlineLevel="0" collapsed="false">
      <c r="A176" s="2" t="s">
        <v>55</v>
      </c>
      <c r="B176" s="2" t="s">
        <v>434</v>
      </c>
      <c r="C176" s="2" t="s">
        <v>105</v>
      </c>
      <c r="D176" s="2" t="n">
        <v>20</v>
      </c>
      <c r="E176" s="2"/>
      <c r="F176" s="5" t="n">
        <v>0</v>
      </c>
      <c r="G176" s="2"/>
    </row>
    <row r="177" customFormat="false" ht="15" hidden="false" customHeight="false" outlineLevel="0" collapsed="false">
      <c r="A177" s="2" t="s">
        <v>55</v>
      </c>
      <c r="B177" s="2" t="s">
        <v>435</v>
      </c>
      <c r="C177" s="2" t="s">
        <v>105</v>
      </c>
      <c r="D177" s="2" t="n">
        <v>20</v>
      </c>
      <c r="E177" s="2"/>
      <c r="F177" s="5" t="n">
        <v>0</v>
      </c>
      <c r="G177" s="2"/>
    </row>
    <row r="178" customFormat="false" ht="15" hidden="false" customHeight="false" outlineLevel="0" collapsed="false">
      <c r="A178" s="2" t="s">
        <v>55</v>
      </c>
      <c r="B178" s="2" t="s">
        <v>436</v>
      </c>
      <c r="C178" s="2" t="s">
        <v>105</v>
      </c>
      <c r="D178" s="2" t="n">
        <v>20</v>
      </c>
      <c r="E178" s="2"/>
      <c r="F178" s="5" t="n">
        <v>0.41</v>
      </c>
      <c r="G178" s="2"/>
    </row>
    <row r="179" customFormat="false" ht="15" hidden="false" customHeight="false" outlineLevel="0" collapsed="false">
      <c r="A179" s="2" t="s">
        <v>55</v>
      </c>
      <c r="B179" s="2" t="s">
        <v>437</v>
      </c>
      <c r="C179" s="2" t="s">
        <v>105</v>
      </c>
      <c r="D179" s="2" t="n">
        <v>20</v>
      </c>
      <c r="E179" s="2"/>
      <c r="F179" s="5" t="n">
        <v>0</v>
      </c>
      <c r="G179" s="2"/>
    </row>
    <row r="180" customFormat="false" ht="15" hidden="false" customHeight="false" outlineLevel="0" collapsed="false">
      <c r="A180" s="2" t="s">
        <v>55</v>
      </c>
      <c r="B180" s="2" t="s">
        <v>438</v>
      </c>
      <c r="C180" s="2" t="s">
        <v>105</v>
      </c>
      <c r="D180" s="2" t="n">
        <v>20</v>
      </c>
      <c r="E180" s="2"/>
      <c r="F180" s="5" t="n">
        <v>0.63</v>
      </c>
      <c r="G180" s="2"/>
    </row>
    <row r="181" customFormat="false" ht="15" hidden="false" customHeight="false" outlineLevel="0" collapsed="false">
      <c r="A181" s="2" t="s">
        <v>55</v>
      </c>
      <c r="B181" s="2" t="s">
        <v>439</v>
      </c>
      <c r="C181" s="2" t="s">
        <v>105</v>
      </c>
      <c r="D181" s="2" t="n">
        <v>20</v>
      </c>
      <c r="E181" s="2"/>
      <c r="F181" s="5" t="n">
        <v>0.59</v>
      </c>
      <c r="G181" s="2"/>
    </row>
    <row r="182" customFormat="false" ht="15" hidden="false" customHeight="false" outlineLevel="0" collapsed="false">
      <c r="A182" s="2" t="s">
        <v>55</v>
      </c>
      <c r="B182" s="2" t="s">
        <v>440</v>
      </c>
      <c r="C182" s="2" t="s">
        <v>105</v>
      </c>
      <c r="D182" s="2" t="n">
        <v>20</v>
      </c>
      <c r="E182" s="2"/>
      <c r="F182" s="5" t="n">
        <v>0</v>
      </c>
      <c r="G182" s="2"/>
    </row>
    <row r="183" customFormat="false" ht="15" hidden="false" customHeight="false" outlineLevel="0" collapsed="false">
      <c r="A183" s="2" t="s">
        <v>55</v>
      </c>
      <c r="B183" s="2" t="s">
        <v>441</v>
      </c>
      <c r="C183" s="2" t="s">
        <v>105</v>
      </c>
      <c r="D183" s="2" t="n">
        <v>20</v>
      </c>
      <c r="E183" s="2"/>
      <c r="F183" s="5" t="n">
        <v>0</v>
      </c>
      <c r="G183" s="2"/>
    </row>
    <row r="184" customFormat="false" ht="15" hidden="false" customHeight="false" outlineLevel="0" collapsed="false">
      <c r="A184" s="2" t="s">
        <v>55</v>
      </c>
      <c r="B184" s="2" t="s">
        <v>442</v>
      </c>
      <c r="C184" s="2" t="s">
        <v>105</v>
      </c>
      <c r="D184" s="2" t="n">
        <v>20</v>
      </c>
      <c r="E184" s="2"/>
      <c r="F184" s="5" t="n">
        <v>0</v>
      </c>
      <c r="G184" s="2"/>
    </row>
    <row r="185" customFormat="false" ht="15" hidden="false" customHeight="false" outlineLevel="0" collapsed="false">
      <c r="A185" s="2" t="s">
        <v>73</v>
      </c>
      <c r="B185" s="2" t="s">
        <v>75</v>
      </c>
      <c r="C185" s="2" t="s">
        <v>103</v>
      </c>
      <c r="D185" s="2" t="n">
        <v>20</v>
      </c>
      <c r="E185" s="2"/>
      <c r="F185" s="5" t="n">
        <v>0</v>
      </c>
      <c r="G185" s="2"/>
    </row>
    <row r="186" customFormat="false" ht="15" hidden="false" customHeight="false" outlineLevel="0" collapsed="false">
      <c r="A186" s="2" t="s">
        <v>73</v>
      </c>
      <c r="B186" s="2" t="s">
        <v>443</v>
      </c>
      <c r="C186" s="2" t="s">
        <v>103</v>
      </c>
      <c r="D186" s="2" t="n">
        <v>20</v>
      </c>
      <c r="E186" s="2"/>
      <c r="F186" s="5" t="n">
        <v>0.5</v>
      </c>
      <c r="G186" s="2"/>
    </row>
    <row r="187" customFormat="false" ht="15" hidden="false" customHeight="false" outlineLevel="0" collapsed="false">
      <c r="A187" s="2" t="s">
        <v>73</v>
      </c>
      <c r="B187" s="2" t="s">
        <v>444</v>
      </c>
      <c r="C187" s="2" t="s">
        <v>105</v>
      </c>
      <c r="D187" s="2" t="n">
        <v>40</v>
      </c>
      <c r="E187" s="2" t="n">
        <v>3</v>
      </c>
      <c r="F187" s="5" t="n">
        <v>0.78</v>
      </c>
      <c r="G187" s="2" t="s">
        <v>84</v>
      </c>
    </row>
    <row r="188" customFormat="false" ht="15" hidden="false" customHeight="false" outlineLevel="0" collapsed="false">
      <c r="A188" s="2" t="s">
        <v>73</v>
      </c>
      <c r="B188" s="2" t="s">
        <v>445</v>
      </c>
      <c r="C188" s="2" t="s">
        <v>105</v>
      </c>
      <c r="D188" s="2" t="n">
        <v>20</v>
      </c>
      <c r="E188" s="2"/>
      <c r="F188" s="5" t="n">
        <v>0.99</v>
      </c>
      <c r="G188" s="2"/>
    </row>
    <row r="189" customFormat="false" ht="15" hidden="false" customHeight="false" outlineLevel="0" collapsed="false">
      <c r="A189" s="2" t="s">
        <v>73</v>
      </c>
      <c r="B189" s="2" t="s">
        <v>446</v>
      </c>
      <c r="C189" s="2" t="s">
        <v>105</v>
      </c>
      <c r="D189" s="2" t="n">
        <v>20</v>
      </c>
      <c r="E189" s="2"/>
      <c r="F189" s="5" t="n">
        <v>0.57</v>
      </c>
      <c r="G189" s="2"/>
    </row>
  </sheetData>
  <autoFilter ref="A1:G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2026-10-06T21:18:00Z</dcterms:created>
  <dc:creator>openpyxl</dc:creator>
  <dc:description/>
  <dc:language>en-US</dc:language>
  <cp:lastModifiedBy/>
  <dcterms:modified xsi:type="dcterms:W3CDTF">2026-10-06T21:18:00Z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